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rlw\Desktop\Website Content to Move\Firms Webpage\"/>
    </mc:Choice>
  </mc:AlternateContent>
  <xr:revisionPtr revIDLastSave="0" documentId="13_ncr:1_{DEE84695-3C10-40CF-A29C-A9D656C68351}" xr6:coauthVersionLast="36" xr6:coauthVersionMax="36" xr10:uidLastSave="{00000000-0000-0000-0000-000000000000}"/>
  <bookViews>
    <workbookView xWindow="34800" yWindow="192" windowWidth="21600" windowHeight="11388" tabRatio="787" activeTab="1" xr2:uid="{00000000-000D-0000-FFFF-FFFF00000000}"/>
  </bookViews>
  <sheets>
    <sheet name="PLEASE READ" sheetId="15" r:id="rId1"/>
    <sheet name="2.A.12" sheetId="1" r:id="rId2"/>
    <sheet name="2.A.24 End of Day" sheetId="4" r:id="rId3"/>
    <sheet name="2.A.24 Beg of Day" sheetId="12" r:id="rId4"/>
    <sheet name="2.A.24 End of Day LCF" sheetId="11" r:id="rId5"/>
    <sheet name="2.A.29" sheetId="6" r:id="rId6"/>
    <sheet name="2.A.36 Comp. Calcs BMV" sheetId="7" r:id="rId7"/>
    <sheet name="2.A.36 Comp. Calcs BMV+Wtd CF" sheetId="14" r:id="rId8"/>
    <sheet name="2.A.36 Comp. Calcs Agg Method" sheetId="13" r:id="rId9"/>
    <sheet name="2.A.39" sheetId="10" r:id="rId10"/>
    <sheet name="2.A.50" sheetId="2" r:id="rId11"/>
  </sheets>
  <definedNames>
    <definedName name="_Hlk10034814" localSheetId="2">'2.A.24 End of Day'!$J$5</definedName>
    <definedName name="_Hlk23595869" localSheetId="2">'2.A.24 End of Day'!$J$6</definedName>
    <definedName name="_Hlk535664429" localSheetId="2">'2.A.24 End of Day'!$J$9</definedName>
    <definedName name="_Hlk535664675" localSheetId="2">'2.A.24 End of Day'!$J$10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6" i="4" l="1"/>
  <c r="D5" i="4"/>
  <c r="D6" i="11" l="1"/>
  <c r="F6" i="11" s="1"/>
  <c r="D13" i="2" l="1"/>
  <c r="C13" i="2"/>
  <c r="H24" i="6"/>
  <c r="H25" i="6" s="1"/>
  <c r="F19" i="6"/>
  <c r="C20" i="6"/>
  <c r="D5" i="12"/>
  <c r="C12" i="4"/>
  <c r="D5" i="11" l="1"/>
  <c r="F5" i="11" s="1"/>
  <c r="D6" i="12"/>
  <c r="B17" i="10"/>
  <c r="C17" i="11" l="1"/>
  <c r="C16" i="11"/>
  <c r="C11" i="11"/>
  <c r="C12" i="12"/>
  <c r="C9" i="12"/>
  <c r="F6" i="12"/>
  <c r="F5" i="12"/>
  <c r="C9" i="4"/>
  <c r="F6" i="4"/>
  <c r="F5" i="4"/>
  <c r="E7" i="1"/>
  <c r="C13" i="4" l="1"/>
  <c r="C14" i="4" s="1"/>
  <c r="C18" i="11"/>
  <c r="C12" i="11"/>
  <c r="C13" i="11" s="1"/>
  <c r="C13" i="12"/>
  <c r="C14" i="12" s="1"/>
  <c r="C10" i="12"/>
  <c r="C10" i="4"/>
  <c r="N20" i="6"/>
  <c r="D5" i="14"/>
  <c r="D19" i="6"/>
  <c r="B8" i="1"/>
  <c r="B11" i="1" s="1"/>
  <c r="C20" i="11" l="1"/>
  <c r="E5" i="1"/>
  <c r="E6" i="1"/>
  <c r="E8" i="1" l="1"/>
  <c r="E8" i="13"/>
  <c r="G5" i="13" s="1"/>
  <c r="D8" i="13"/>
  <c r="C8" i="13"/>
  <c r="B8" i="13"/>
  <c r="C8" i="14"/>
  <c r="B8" i="14"/>
  <c r="D7" i="14"/>
  <c r="D6" i="14"/>
  <c r="J6" i="13" l="1"/>
  <c r="J5" i="13"/>
  <c r="J7" i="13" s="1"/>
  <c r="J5" i="14"/>
  <c r="D8" i="14"/>
  <c r="G6" i="13"/>
  <c r="G7" i="13"/>
  <c r="E6" i="14"/>
  <c r="G6" i="14" s="1"/>
  <c r="E7" i="14"/>
  <c r="G7" i="14" s="1"/>
  <c r="E5" i="14" l="1"/>
  <c r="J6" i="14"/>
  <c r="J7" i="14"/>
  <c r="G8" i="13"/>
  <c r="G5" i="14"/>
  <c r="G8" i="14" s="1"/>
  <c r="E8" i="14"/>
  <c r="G12" i="10" l="1"/>
  <c r="G11" i="10"/>
  <c r="G10" i="10"/>
  <c r="E9" i="10"/>
  <c r="G8" i="10"/>
  <c r="E8" i="10"/>
  <c r="G7" i="10"/>
  <c r="E7" i="10"/>
  <c r="G5" i="10"/>
  <c r="E5" i="10"/>
  <c r="G4" i="10"/>
  <c r="E4" i="10"/>
  <c r="B18" i="10" l="1"/>
  <c r="B19" i="10"/>
  <c r="B8" i="7" l="1"/>
  <c r="C6" i="7" l="1"/>
  <c r="E6" i="7" s="1"/>
  <c r="C5" i="7"/>
  <c r="E5" i="7" s="1"/>
  <c r="E8" i="7" s="1"/>
  <c r="C7" i="7"/>
  <c r="E7" i="7" s="1"/>
  <c r="C8" i="7" l="1"/>
  <c r="D6" i="6"/>
  <c r="P19" i="6"/>
  <c r="O19" i="6"/>
  <c r="P18" i="6"/>
  <c r="P17" i="6"/>
  <c r="P16" i="6"/>
  <c r="P15" i="6"/>
  <c r="P14" i="6"/>
  <c r="P13" i="6"/>
  <c r="P12" i="6"/>
  <c r="P11" i="6"/>
  <c r="P10" i="6"/>
  <c r="P9" i="6"/>
  <c r="P8" i="6"/>
  <c r="P7" i="6"/>
  <c r="P6" i="6"/>
  <c r="D18" i="6"/>
  <c r="D17" i="6"/>
  <c r="D16" i="6"/>
  <c r="D15" i="6"/>
  <c r="D14" i="6"/>
  <c r="D13" i="6"/>
  <c r="D12" i="6"/>
  <c r="D11" i="6"/>
  <c r="D10" i="6"/>
  <c r="E10" i="6" s="1"/>
  <c r="D9" i="6"/>
  <c r="E9" i="6" s="1"/>
  <c r="D8" i="6"/>
  <c r="E8" i="6" s="1"/>
  <c r="D7" i="6"/>
  <c r="E7" i="6" s="1"/>
  <c r="O12" i="6" l="1"/>
  <c r="O11" i="6"/>
  <c r="O10" i="6"/>
  <c r="O9" i="6"/>
  <c r="O8" i="6"/>
  <c r="O7" i="6"/>
  <c r="O13" i="6"/>
  <c r="O18" i="6"/>
  <c r="O17" i="6"/>
  <c r="O14" i="6"/>
  <c r="O16" i="6"/>
  <c r="O15" i="6"/>
  <c r="O6" i="6"/>
  <c r="E6" i="6"/>
  <c r="E13" i="6"/>
  <c r="E15" i="6"/>
  <c r="E16" i="6"/>
  <c r="E17" i="6"/>
  <c r="E14" i="6"/>
  <c r="E18" i="6"/>
  <c r="E11" i="6"/>
  <c r="E12" i="6"/>
  <c r="O20" i="6" l="1"/>
  <c r="G19" i="6"/>
  <c r="H19" i="6" s="1"/>
  <c r="H20" i="6" s="1"/>
  <c r="E20" i="6"/>
  <c r="H22" i="6" l="1"/>
  <c r="H21"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Terris</author>
  </authors>
  <commentList>
    <comment ref="B3" authorId="0" shapeId="0" xr:uid="{00000000-0006-0000-0500-000001000000}">
      <text>
        <r>
          <rPr>
            <sz val="9"/>
            <color indexed="81"/>
            <rFont val="Tahoma"/>
            <family val="2"/>
          </rPr>
          <t xml:space="preserve">Cash Flow (CF) or Terminal Value (TV)
</t>
        </r>
      </text>
    </comment>
  </commentList>
</comments>
</file>

<file path=xl/sharedStrings.xml><?xml version="1.0" encoding="utf-8"?>
<sst xmlns="http://schemas.openxmlformats.org/spreadsheetml/2006/main" count="224" uniqueCount="120">
  <si>
    <t>Ending Valuation</t>
  </si>
  <si>
    <t>Contribution</t>
  </si>
  <si>
    <t>Dates</t>
  </si>
  <si>
    <t>Explanation</t>
  </si>
  <si>
    <t>Calculated annualized return using XIRR</t>
  </si>
  <si>
    <t xml:space="preserve">External Cash Flows &amp; </t>
  </si>
  <si>
    <t>Portfolio value as of 30 September 2020</t>
  </si>
  <si>
    <t>Cash Flow</t>
  </si>
  <si>
    <t>with</t>
  </si>
  <si>
    <t>Line of Credit</t>
  </si>
  <si>
    <t>Transaction Type</t>
  </si>
  <si>
    <t>Ending Fair Value</t>
  </si>
  <si>
    <t>Net MWR</t>
  </si>
  <si>
    <t xml:space="preserve">without </t>
  </si>
  <si>
    <t>Subscription</t>
  </si>
  <si>
    <t>Capital Call</t>
  </si>
  <si>
    <t>Subscription LOC Drawdown</t>
  </si>
  <si>
    <t>Date</t>
  </si>
  <si>
    <t>SI-MWR</t>
  </si>
  <si>
    <t>Day Wtd CF</t>
  </si>
  <si>
    <t>Day Wtg (EOD)</t>
  </si>
  <si>
    <t>Numerator</t>
  </si>
  <si>
    <t>Denominator</t>
  </si>
  <si>
    <t>Return</t>
  </si>
  <si>
    <t>Portfolio</t>
  </si>
  <si>
    <t>Sub-period 1 Calculation</t>
  </si>
  <si>
    <t>Sub-period 2 Calculation</t>
  </si>
  <si>
    <t>Total sub-periods 1 &amp; 2</t>
  </si>
  <si>
    <t>Day of CF/Valuation</t>
  </si>
  <si>
    <t>Wtd CF</t>
  </si>
  <si>
    <t>Dates of Values &amp; CF's</t>
  </si>
  <si>
    <t>Values &amp; CF's</t>
  </si>
  <si>
    <t>NPV</t>
  </si>
  <si>
    <t>Days invested</t>
  </si>
  <si>
    <t>XIRR</t>
  </si>
  <si>
    <t>SI-Modified Dietz</t>
  </si>
  <si>
    <t>Cumulative</t>
  </si>
  <si>
    <t>Annualized</t>
  </si>
  <si>
    <t>Cash Flows</t>
  </si>
  <si>
    <t>Terminal Value</t>
  </si>
  <si>
    <t>Cash Flows (CF)</t>
  </si>
  <si>
    <t>Weighted Return</t>
  </si>
  <si>
    <t>BMV</t>
  </si>
  <si>
    <t>Portfolio Weight</t>
  </si>
  <si>
    <t>Formula</t>
  </si>
  <si>
    <t>A</t>
  </si>
  <si>
    <t>B</t>
  </si>
  <si>
    <t>C</t>
  </si>
  <si>
    <t>=C5*D5</t>
  </si>
  <si>
    <t>Total</t>
  </si>
  <si>
    <t xml:space="preserve">Weighted </t>
  </si>
  <si>
    <t>BMV plus</t>
  </si>
  <si>
    <t>Wtd CFs</t>
  </si>
  <si>
    <t>Wtd CFs (%)</t>
  </si>
  <si>
    <t>EMV</t>
  </si>
  <si>
    <t xml:space="preserve"> </t>
  </si>
  <si>
    <t>Total Cash Flow</t>
  </si>
  <si>
    <t>Weighted Cash Flow</t>
  </si>
  <si>
    <t>Day Wtg (BOD)</t>
  </si>
  <si>
    <t>CF</t>
  </si>
  <si>
    <t>MV</t>
  </si>
  <si>
    <t>Beginning Assets Plus Weighted External Cash Flow method</t>
  </si>
  <si>
    <t>Aggregate Return method (using Modified Dietz)</t>
  </si>
  <si>
    <t>Combined</t>
  </si>
  <si>
    <t>CF or TV</t>
  </si>
  <si>
    <t>Fund 1</t>
  </si>
  <si>
    <t>Fund 2</t>
  </si>
  <si>
    <t>Fund 1 &amp; 2</t>
  </si>
  <si>
    <t>Fund 3</t>
  </si>
  <si>
    <t>Fund 1, 2 &amp; 3</t>
  </si>
  <si>
    <t>Year</t>
  </si>
  <si>
    <t>IRR Calc</t>
  </si>
  <si>
    <t>=XIRR(C4:C6,A4:A6,0.1)</t>
  </si>
  <si>
    <t>=XIRR(E4:E9,A4:A9,0.1)</t>
  </si>
  <si>
    <t>=XIRR(G4:G12,A4:A12,0.1)</t>
  </si>
  <si>
    <t>Going from an annualized XIRR to an unannualized SI-IRR</t>
  </si>
  <si>
    <t>CF's Invested</t>
  </si>
  <si>
    <t>at IRR</t>
  </si>
  <si>
    <t>Day Count</t>
  </si>
  <si>
    <t>Implied # of years</t>
  </si>
  <si>
    <t>=C6*D6</t>
  </si>
  <si>
    <t>=B7</t>
  </si>
  <si>
    <t>=C5+C6</t>
  </si>
  <si>
    <t>=F5+F6</t>
  </si>
  <si>
    <t>=C7-C4-C5-C6</t>
  </si>
  <si>
    <t>=C4+F5+F6</t>
  </si>
  <si>
    <t>=C12/C13</t>
  </si>
  <si>
    <t>=C7*D7</t>
  </si>
  <si>
    <t>=(1+H19)^(1/4)-1</t>
  </si>
  <si>
    <t>=RATE(4,,-1,(1+H19))</t>
  </si>
  <si>
    <t>=F19/G19</t>
  </si>
  <si>
    <t>(formula using years)</t>
  </si>
  <si>
    <t>(Excel's Rate formula)</t>
  </si>
  <si>
    <t>=B5*(1+B11)^((A7-A5)/(A7-A5))</t>
  </si>
  <si>
    <t>=B6*(1+B11)^((A7-A6)/(A7-A5))</t>
  </si>
  <si>
    <t>=SUM(E5:E7)</t>
  </si>
  <si>
    <t>Unannualized return</t>
  </si>
  <si>
    <t>Check calculation</t>
  </si>
  <si>
    <t>=(A7-A5)/(A7-A4)</t>
  </si>
  <si>
    <t>=(A7-A6)/(A7-A4)</t>
  </si>
  <si>
    <t>=(A7-A5+1)/(A7-A4)</t>
  </si>
  <si>
    <t>=(A7-A6+1)/(A7-A4)</t>
  </si>
  <si>
    <t>Modified Dietz - End of Day Cash Flow Assumption</t>
  </si>
  <si>
    <t>Modified Dietz - Beginning of Day Cash Flow Assumption</t>
  </si>
  <si>
    <t>Modified Dietz - End of Day Cash Flow Assumption with  Large Cash Flow</t>
  </si>
  <si>
    <t>(Day count used in the Explanation)</t>
  </si>
  <si>
    <t>SI-IRR check calculation</t>
  </si>
  <si>
    <t>Beginning Assets Weighting Method</t>
  </si>
  <si>
    <t>=(1+H19)^(1/H25)-1</t>
  </si>
  <si>
    <t>=J5/J6</t>
  </si>
  <si>
    <t>=C11/C12</t>
  </si>
  <si>
    <t>=C8-C7</t>
  </si>
  <si>
    <t>=C7</t>
  </si>
  <si>
    <t>=C16/C17</t>
  </si>
  <si>
    <t>=(1+C13)*(1+C18)-1</t>
  </si>
  <si>
    <t>=(C8-B8-D8)</t>
  </si>
  <si>
    <t>=(B8+E8)</t>
  </si>
  <si>
    <t>=(D5*F5)+(D6*F6)+(D7*F7)</t>
  </si>
  <si>
    <t>=D8</t>
  </si>
  <si>
    <t>The content in this spreadsheet is for informational purposes only. You should not construe any such information or other material as legal, tax, investment, financial, or other advice. You alone assume the sole responsibility of evaluating the merits and risks associated with the use of any information or other Content on the Site before making any decisions based on such information or other Content. You agree not to hold CFA Institute or its subsidiaries liable for any possible claim arising from any decision you make based on information or content made available to you through this spreadsheet.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</si>
</sst>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409]d\-mmm\-yyyy;@"/>
    <numFmt numFmtId="167" formatCode="0.0000%"/>
    <numFmt numFmtId="168" formatCode="0.0000000000000000%"/>
    <numFmt numFmtId="169" formatCode="[$-409]d\-mmm\-yy;@"/>
    <numFmt numFmtId="170" formatCode="0.000"/>
    <numFmt numFmtId="171" formatCode="0.0000"/>
    <numFmt numFmtId="172" formatCode="0.000000%"/>
    <numFmt numFmtId="173" formatCode="_(* #,##0.0000_);_(* \(#,##0.0000\);_(* &quot;-&quot;????_);_(@_)"/>
  </numFmts>
  <fonts count="9" x14ac:knownFonts="1">
    <font>
      <sz val="11"/>
      <color theme="1"/>
      <name val="Calibri"/>
      <family val="2"/>
      <scheme val="minor"/>
    </font>
    <font>
      <sz val="11"/>
      <color theme="1"/>
      <name val="Calibri"/>
      <family val="2"/>
      <scheme val="minor"/>
    </font>
    <font>
      <b/>
      <sz val="11"/>
      <color theme="1"/>
      <name val="Calibri"/>
      <family val="2"/>
      <scheme val="minor"/>
    </font>
    <font>
      <sz val="9"/>
      <color indexed="81"/>
      <name val="Tahoma"/>
      <family val="2"/>
    </font>
    <font>
      <sz val="11"/>
      <color rgb="FF0000FF"/>
      <name val="Calibri"/>
      <family val="2"/>
      <scheme val="minor"/>
    </font>
    <font>
      <u/>
      <sz val="11"/>
      <color theme="1"/>
      <name val="Calibri"/>
      <family val="2"/>
      <scheme val="minor"/>
    </font>
    <font>
      <b/>
      <sz val="11"/>
      <color rgb="FF0000FF"/>
      <name val="Calibri"/>
      <family val="2"/>
      <scheme val="minor"/>
    </font>
    <font>
      <sz val="11"/>
      <name val="Calibri"/>
      <family val="2"/>
      <scheme val="minor"/>
    </font>
    <font>
      <sz val="14"/>
      <color theme="1"/>
      <name val="Calibri"/>
      <family val="2"/>
      <scheme val="minor"/>
    </font>
  </fonts>
  <fills count="2">
    <fill>
      <patternFill patternType="none"/>
    </fill>
    <fill>
      <patternFill patternType="gray125"/>
    </fill>
  </fills>
  <borders count="3">
    <border>
      <left/>
      <right/>
      <top/>
      <bottom/>
      <diagonal/>
    </border>
    <border>
      <left/>
      <right/>
      <top/>
      <bottom style="thin">
        <color indexed="64"/>
      </bottom>
      <diagonal/>
    </border>
    <border>
      <left/>
      <right/>
      <top style="thin">
        <color indexed="64"/>
      </top>
      <bottom style="thin">
        <color indexed="64"/>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85">
    <xf numFmtId="0" fontId="0" fillId="0" borderId="0" xfId="0"/>
    <xf numFmtId="43" fontId="0" fillId="0" borderId="0" xfId="1" applyFont="1"/>
    <xf numFmtId="10" fontId="0" fillId="0" borderId="0" xfId="3" applyNumberFormat="1" applyFont="1"/>
    <xf numFmtId="0" fontId="0" fillId="0" borderId="0" xfId="0" applyAlignment="1">
      <alignment horizontal="center"/>
    </xf>
    <xf numFmtId="0" fontId="2" fillId="0" borderId="0" xfId="0" applyFont="1" applyAlignment="1">
      <alignment horizontal="center"/>
    </xf>
    <xf numFmtId="0" fontId="2" fillId="0" borderId="1" xfId="0" applyFont="1" applyBorder="1" applyAlignment="1">
      <alignment horizontal="center"/>
    </xf>
    <xf numFmtId="164" fontId="0" fillId="0" borderId="0" xfId="2" applyNumberFormat="1" applyFont="1" applyAlignment="1">
      <alignment horizontal="right"/>
    </xf>
    <xf numFmtId="10" fontId="0" fillId="0" borderId="0" xfId="0" applyNumberFormat="1"/>
    <xf numFmtId="10" fontId="0" fillId="0" borderId="2" xfId="3" applyNumberFormat="1" applyFont="1" applyBorder="1" applyAlignment="1">
      <alignment horizontal="right"/>
    </xf>
    <xf numFmtId="165" fontId="0" fillId="0" borderId="0" xfId="1" applyNumberFormat="1" applyFont="1"/>
    <xf numFmtId="166" fontId="0" fillId="0" borderId="0" xfId="0" applyNumberFormat="1"/>
    <xf numFmtId="10" fontId="0" fillId="0" borderId="2" xfId="3" applyNumberFormat="1" applyFont="1" applyBorder="1"/>
    <xf numFmtId="14" fontId="0" fillId="0" borderId="0" xfId="0" applyNumberFormat="1"/>
    <xf numFmtId="2" fontId="0" fillId="0" borderId="0" xfId="0" applyNumberFormat="1"/>
    <xf numFmtId="43" fontId="0" fillId="0" borderId="0" xfId="0" applyNumberFormat="1"/>
    <xf numFmtId="165" fontId="0" fillId="0" borderId="0" xfId="0" applyNumberFormat="1"/>
    <xf numFmtId="167" fontId="0" fillId="0" borderId="0" xfId="3" applyNumberFormat="1" applyFont="1"/>
    <xf numFmtId="0" fontId="2" fillId="0" borderId="0" xfId="0" applyFont="1" applyFill="1" applyBorder="1" applyAlignment="1">
      <alignment horizontal="center"/>
    </xf>
    <xf numFmtId="0" fontId="2" fillId="0" borderId="0" xfId="0" applyFont="1"/>
    <xf numFmtId="43" fontId="0" fillId="0" borderId="2" xfId="0" applyNumberFormat="1" applyBorder="1"/>
    <xf numFmtId="0" fontId="0" fillId="0" borderId="0" xfId="0" applyBorder="1" applyAlignment="1">
      <alignment horizontal="center"/>
    </xf>
    <xf numFmtId="165" fontId="0" fillId="0" borderId="0" xfId="1" applyNumberFormat="1" applyFont="1" applyAlignment="1">
      <alignment horizontal="center"/>
    </xf>
    <xf numFmtId="10" fontId="0" fillId="0" borderId="0" xfId="3" applyNumberFormat="1" applyFont="1" applyAlignment="1">
      <alignment horizontal="center"/>
    </xf>
    <xf numFmtId="9" fontId="0" fillId="0" borderId="0" xfId="0" applyNumberFormat="1" applyAlignment="1">
      <alignment horizontal="center"/>
    </xf>
    <xf numFmtId="10" fontId="0" fillId="0" borderId="0" xfId="0" applyNumberFormat="1" applyAlignment="1">
      <alignment horizontal="center"/>
    </xf>
    <xf numFmtId="165" fontId="0" fillId="0" borderId="2" xfId="1" applyNumberFormat="1" applyFont="1" applyBorder="1" applyAlignment="1">
      <alignment horizontal="center"/>
    </xf>
    <xf numFmtId="10" fontId="0" fillId="0" borderId="2" xfId="0" applyNumberFormat="1" applyBorder="1" applyAlignment="1">
      <alignment horizontal="center"/>
    </xf>
    <xf numFmtId="0" fontId="0" fillId="0" borderId="0" xfId="0" applyAlignment="1">
      <alignment horizontal="center"/>
    </xf>
    <xf numFmtId="0" fontId="0" fillId="0" borderId="0" xfId="0" quotePrefix="1"/>
    <xf numFmtId="165" fontId="0" fillId="0" borderId="0" xfId="0" quotePrefix="1" applyNumberFormat="1"/>
    <xf numFmtId="10" fontId="0" fillId="0" borderId="0" xfId="0" applyNumberFormat="1" applyBorder="1" applyAlignment="1">
      <alignment horizontal="center"/>
    </xf>
    <xf numFmtId="165" fontId="0" fillId="0" borderId="0" xfId="1" quotePrefix="1" applyNumberFormat="1" applyFont="1"/>
    <xf numFmtId="0" fontId="4" fillId="0" borderId="0" xfId="0" applyFont="1"/>
    <xf numFmtId="165" fontId="0" fillId="0" borderId="0" xfId="0" quotePrefix="1" applyNumberFormat="1" applyAlignment="1">
      <alignment horizontal="left"/>
    </xf>
    <xf numFmtId="10" fontId="0" fillId="0" borderId="0" xfId="3" quotePrefix="1" applyNumberFormat="1" applyFont="1"/>
    <xf numFmtId="169" fontId="0" fillId="0" borderId="0" xfId="0" applyNumberFormat="1" applyAlignment="1">
      <alignment horizontal="center"/>
    </xf>
    <xf numFmtId="0" fontId="2" fillId="0" borderId="0" xfId="0" applyFont="1" applyBorder="1"/>
    <xf numFmtId="0" fontId="0" fillId="0" borderId="0" xfId="0" applyBorder="1"/>
    <xf numFmtId="0" fontId="2" fillId="0" borderId="0" xfId="0" applyFont="1" applyFill="1"/>
    <xf numFmtId="43" fontId="0" fillId="0" borderId="0" xfId="0" applyNumberFormat="1" applyBorder="1"/>
    <xf numFmtId="165" fontId="0" fillId="0" borderId="0" xfId="1" applyNumberFormat="1" applyFont="1" applyFill="1"/>
    <xf numFmtId="0" fontId="0" fillId="0" borderId="0" xfId="0" applyFill="1"/>
    <xf numFmtId="165" fontId="0" fillId="0" borderId="0" xfId="0" applyNumberFormat="1" applyFill="1"/>
    <xf numFmtId="0" fontId="5" fillId="0" borderId="0" xfId="0" applyFont="1"/>
    <xf numFmtId="2" fontId="0" fillId="0" borderId="0" xfId="0" quotePrefix="1" applyNumberFormat="1"/>
    <xf numFmtId="0" fontId="0" fillId="0" borderId="0" xfId="0" applyBorder="1" applyAlignment="1">
      <alignment wrapText="1"/>
    </xf>
    <xf numFmtId="0" fontId="0" fillId="0" borderId="0" xfId="0" applyAlignment="1">
      <alignment wrapText="1"/>
    </xf>
    <xf numFmtId="10" fontId="0" fillId="0" borderId="0" xfId="0" quotePrefix="1" applyNumberFormat="1"/>
    <xf numFmtId="167" fontId="0" fillId="0" borderId="0" xfId="3" quotePrefix="1" applyNumberFormat="1" applyFont="1"/>
    <xf numFmtId="164" fontId="0" fillId="0" borderId="2" xfId="0" quotePrefix="1" applyNumberFormat="1" applyBorder="1"/>
    <xf numFmtId="10" fontId="0" fillId="0" borderId="0" xfId="3" applyNumberFormat="1" applyFont="1" applyBorder="1"/>
    <xf numFmtId="166" fontId="0" fillId="0" borderId="0" xfId="0" applyNumberFormat="1" applyFill="1"/>
    <xf numFmtId="43" fontId="0" fillId="0" borderId="0" xfId="1" applyFont="1" applyFill="1"/>
    <xf numFmtId="14" fontId="0" fillId="0" borderId="0" xfId="0" applyNumberFormat="1" applyFill="1"/>
    <xf numFmtId="10" fontId="0" fillId="0" borderId="0" xfId="3" applyNumberFormat="1" applyFont="1" applyFill="1"/>
    <xf numFmtId="0" fontId="2" fillId="0" borderId="0" xfId="0" applyFont="1" applyFill="1" applyAlignment="1">
      <alignment horizontal="center"/>
    </xf>
    <xf numFmtId="164" fontId="0" fillId="0" borderId="0" xfId="0" quotePrefix="1" applyNumberFormat="1" applyFill="1"/>
    <xf numFmtId="171" fontId="0" fillId="0" borderId="0" xfId="0" quotePrefix="1" applyNumberFormat="1"/>
    <xf numFmtId="10" fontId="0" fillId="0" borderId="0" xfId="3" quotePrefix="1" applyNumberFormat="1" applyFont="1" applyFill="1"/>
    <xf numFmtId="10" fontId="0" fillId="0" borderId="0" xfId="0" applyNumberFormat="1" applyFill="1"/>
    <xf numFmtId="170" fontId="0" fillId="0" borderId="0" xfId="0" applyNumberFormat="1"/>
    <xf numFmtId="43" fontId="2" fillId="0" borderId="0" xfId="0" applyNumberFormat="1" applyFont="1" applyAlignment="1">
      <alignment horizontal="center"/>
    </xf>
    <xf numFmtId="0" fontId="6" fillId="0" borderId="0" xfId="0" applyFont="1"/>
    <xf numFmtId="0" fontId="2" fillId="0" borderId="0" xfId="0" applyFont="1" applyBorder="1" applyAlignment="1">
      <alignment horizontal="center"/>
    </xf>
    <xf numFmtId="0" fontId="6" fillId="0" borderId="0" xfId="0" applyFont="1" applyAlignment="1">
      <alignment horizontal="left"/>
    </xf>
    <xf numFmtId="0" fontId="2" fillId="0" borderId="1" xfId="0" applyFont="1" applyBorder="1" applyAlignment="1">
      <alignment horizontal="center" wrapText="1"/>
    </xf>
    <xf numFmtId="0" fontId="2" fillId="0" borderId="2" xfId="0" applyFont="1" applyBorder="1" applyAlignment="1">
      <alignment wrapText="1"/>
    </xf>
    <xf numFmtId="0" fontId="2" fillId="0" borderId="2" xfId="0" applyFont="1" applyBorder="1"/>
    <xf numFmtId="172" fontId="0" fillId="0" borderId="0" xfId="3" applyNumberFormat="1" applyFont="1"/>
    <xf numFmtId="173" fontId="0" fillId="0" borderId="0" xfId="0" applyNumberFormat="1"/>
    <xf numFmtId="0" fontId="4" fillId="0" borderId="0" xfId="0" applyFont="1" applyFill="1"/>
    <xf numFmtId="2" fontId="0" fillId="0" borderId="0" xfId="0" quotePrefix="1" applyNumberFormat="1" applyFill="1"/>
    <xf numFmtId="165" fontId="0" fillId="0" borderId="0" xfId="0" quotePrefix="1" applyNumberFormat="1" applyFill="1"/>
    <xf numFmtId="43" fontId="0" fillId="0" borderId="0" xfId="0" applyNumberFormat="1" applyFill="1"/>
    <xf numFmtId="168" fontId="0" fillId="0" borderId="0" xfId="0" quotePrefix="1" applyNumberFormat="1" applyFill="1" applyAlignment="1">
      <alignment horizontal="center"/>
    </xf>
    <xf numFmtId="168" fontId="0" fillId="0" borderId="2" xfId="0" quotePrefix="1" applyNumberFormat="1" applyFill="1" applyBorder="1" applyAlignment="1">
      <alignment horizontal="center"/>
    </xf>
    <xf numFmtId="168" fontId="0" fillId="0" borderId="0" xfId="0" applyNumberFormat="1"/>
    <xf numFmtId="171" fontId="0" fillId="0" borderId="0" xfId="0" quotePrefix="1" applyNumberFormat="1" applyFill="1"/>
    <xf numFmtId="0" fontId="0" fillId="0" borderId="0" xfId="0" applyAlignment="1">
      <alignment vertical="center"/>
    </xf>
    <xf numFmtId="0" fontId="8" fillId="0" borderId="0" xfId="0" applyFont="1" applyAlignment="1">
      <alignment vertical="center" wrapText="1"/>
    </xf>
    <xf numFmtId="165" fontId="7" fillId="0" borderId="0" xfId="1" quotePrefix="1" applyNumberFormat="1" applyFont="1" applyFill="1"/>
    <xf numFmtId="0" fontId="7" fillId="0" borderId="0" xfId="0" applyFont="1" applyFill="1"/>
    <xf numFmtId="0" fontId="2" fillId="0" borderId="1" xfId="0" applyFont="1" applyBorder="1" applyAlignment="1">
      <alignment horizontal="center"/>
    </xf>
    <xf numFmtId="0" fontId="0" fillId="0" borderId="0" xfId="0" applyFill="1" applyAlignment="1">
      <alignment horizontal="center" wrapText="1"/>
    </xf>
    <xf numFmtId="0" fontId="0" fillId="0" borderId="0" xfId="0" applyAlignment="1">
      <alignment horizontal="center" wrapText="1"/>
    </xf>
  </cellXfs>
  <cellStyles count="4">
    <cellStyle name="Comma" xfId="1" builtinId="3"/>
    <cellStyle name="Currency" xfId="2" builtinId="4"/>
    <cellStyle name="Normal" xfId="0" builtinId="0"/>
    <cellStyle name="Percent" xfId="3" builtinId="5"/>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C6E1A-7DAA-4A7B-9238-B4478EA6FBA3}">
  <sheetPr codeName="Sheet1"/>
  <dimension ref="A1:A2"/>
  <sheetViews>
    <sheetView workbookViewId="0">
      <selection activeCell="A8" sqref="A8"/>
    </sheetView>
  </sheetViews>
  <sheetFormatPr defaultRowHeight="14.4" x14ac:dyDescent="0.3"/>
  <cols>
    <col min="1" max="1" width="122" customWidth="1"/>
  </cols>
  <sheetData>
    <row r="1" spans="1:1" ht="108" x14ac:dyDescent="0.3">
      <c r="A1" s="79" t="s">
        <v>119</v>
      </c>
    </row>
    <row r="2" spans="1:1" x14ac:dyDescent="0.3">
      <c r="A2" s="78"/>
    </row>
  </sheetData>
  <sheetProtection algorithmName="SHA-512" hashValue="9XZiAR3kxmmxZ3eQ94zyG/E5mxGksgSQB81K/6qBDvz0Z4mm6y8RjO/KFkaRoSFM2BfLyeekgmPO14/mD1bHEg==" saltValue="Iuk8OJCeDOUWnNyJ/7i/MA==" spinCount="100000" sheet="1" formatCells="0" formatColumns="0" formatRows="0" insertColumns="0" insertRows="0" insertHyperlinks="0" deleteColumns="0" delete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17"/>
  <sheetViews>
    <sheetView tabSelected="1" workbookViewId="0">
      <selection activeCell="D20" sqref="D20"/>
    </sheetView>
  </sheetViews>
  <sheetFormatPr defaultRowHeight="14.4" x14ac:dyDescent="0.3"/>
  <cols>
    <col min="1" max="1" width="9.6640625" bestFit="1" customWidth="1"/>
    <col min="2" max="2" width="21.109375" bestFit="1" customWidth="1"/>
    <col min="3" max="3" width="36.88671875" bestFit="1" customWidth="1"/>
    <col min="5" max="5" width="18.33203125" customWidth="1"/>
    <col min="6" max="6" width="30.5546875" bestFit="1" customWidth="1"/>
    <col min="7" max="7" width="76.109375" bestFit="1" customWidth="1"/>
    <col min="8" max="8" width="65.44140625" customWidth="1"/>
  </cols>
  <sheetData>
    <row r="1" spans="1:8" x14ac:dyDescent="0.3">
      <c r="A1" s="32" t="s">
        <v>75</v>
      </c>
      <c r="D1" s="41"/>
      <c r="E1" s="41"/>
    </row>
    <row r="2" spans="1:8" x14ac:dyDescent="0.3">
      <c r="D2" s="41"/>
      <c r="E2" s="41" t="s">
        <v>97</v>
      </c>
      <c r="G2" s="43"/>
      <c r="H2" s="43"/>
    </row>
    <row r="3" spans="1:8" x14ac:dyDescent="0.3">
      <c r="A3" s="4"/>
      <c r="B3" s="4" t="s">
        <v>5</v>
      </c>
      <c r="C3" s="4"/>
      <c r="D3" s="41"/>
      <c r="E3" s="55" t="s">
        <v>76</v>
      </c>
      <c r="F3" s="38"/>
    </row>
    <row r="4" spans="1:8" x14ac:dyDescent="0.3">
      <c r="A4" s="5" t="s">
        <v>2</v>
      </c>
      <c r="B4" s="5" t="s">
        <v>0</v>
      </c>
      <c r="C4" s="5" t="s">
        <v>3</v>
      </c>
      <c r="D4" s="41"/>
      <c r="E4" s="17" t="s">
        <v>77</v>
      </c>
      <c r="F4" s="17"/>
    </row>
    <row r="5" spans="1:8" x14ac:dyDescent="0.3">
      <c r="A5" s="35">
        <v>44075</v>
      </c>
      <c r="B5" s="6">
        <v>-1000000</v>
      </c>
      <c r="C5" s="3" t="s">
        <v>1</v>
      </c>
      <c r="D5" s="41"/>
      <c r="E5" s="56">
        <f>B5*(1+B11)^((A7-A5)/(A7-A5))</f>
        <v>-1023774.7610772172</v>
      </c>
      <c r="F5" s="56" t="s">
        <v>93</v>
      </c>
      <c r="G5" s="43"/>
    </row>
    <row r="6" spans="1:8" x14ac:dyDescent="0.3">
      <c r="A6" s="35">
        <v>44084</v>
      </c>
      <c r="B6" s="6">
        <v>-75000</v>
      </c>
      <c r="C6" s="3" t="s">
        <v>1</v>
      </c>
      <c r="E6" s="56">
        <f>B6*(1+B11)^((A7-A6)/(A7-A5))</f>
        <v>-76225.23879473962</v>
      </c>
      <c r="F6" s="56" t="s">
        <v>94</v>
      </c>
    </row>
    <row r="7" spans="1:8" x14ac:dyDescent="0.3">
      <c r="A7" s="35">
        <v>44104</v>
      </c>
      <c r="B7" s="6">
        <v>1100000</v>
      </c>
      <c r="C7" s="3" t="s">
        <v>6</v>
      </c>
      <c r="E7" s="56">
        <f>B7</f>
        <v>1100000</v>
      </c>
      <c r="F7" s="56" t="s">
        <v>81</v>
      </c>
    </row>
    <row r="8" spans="1:8" x14ac:dyDescent="0.3">
      <c r="A8" s="3"/>
      <c r="B8" s="8">
        <f>XIRR(B5:B7,A5:A7)</f>
        <v>0.34411035180091853</v>
      </c>
      <c r="C8" s="3" t="s">
        <v>4</v>
      </c>
      <c r="E8" s="49">
        <f>SUM(E5:E7)</f>
        <v>1.2804311700165272E-4</v>
      </c>
      <c r="F8" s="49" t="s">
        <v>95</v>
      </c>
    </row>
    <row r="10" spans="1:8" x14ac:dyDescent="0.3">
      <c r="B10" s="2"/>
      <c r="C10" s="7"/>
    </row>
    <row r="11" spans="1:8" x14ac:dyDescent="0.3">
      <c r="B11" s="54">
        <f>(1+B8)^((A7-A5)/365)-1</f>
        <v>2.377476107721721E-2</v>
      </c>
      <c r="C11" s="3" t="s">
        <v>96</v>
      </c>
    </row>
    <row r="12" spans="1:8" x14ac:dyDescent="0.3">
      <c r="B12" s="2"/>
    </row>
    <row r="15" spans="1:8" x14ac:dyDescent="0.3">
      <c r="A15" t="s">
        <v>55</v>
      </c>
      <c r="B15" s="2"/>
    </row>
    <row r="16" spans="1:8" x14ac:dyDescent="0.3">
      <c r="E16" s="9"/>
      <c r="F16" s="9"/>
    </row>
    <row r="17" spans="2:2" x14ac:dyDescent="0.3">
      <c r="B17" s="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22"/>
  <sheetViews>
    <sheetView workbookViewId="0">
      <selection activeCell="C7" sqref="C7"/>
    </sheetView>
  </sheetViews>
  <sheetFormatPr defaultRowHeight="14.4" x14ac:dyDescent="0.3"/>
  <cols>
    <col min="1" max="1" width="23.5546875" customWidth="1"/>
    <col min="2" max="2" width="5.109375" bestFit="1" customWidth="1"/>
    <col min="3" max="3" width="11.5546875" bestFit="1" customWidth="1"/>
    <col min="4" max="4" width="14" bestFit="1" customWidth="1"/>
    <col min="5" max="5" width="27.88671875" bestFit="1" customWidth="1"/>
    <col min="6" max="6" width="11" customWidth="1"/>
    <col min="9" max="9" width="9" customWidth="1"/>
    <col min="10" max="10" width="12.33203125" customWidth="1"/>
    <col min="11" max="11" width="53.88671875" customWidth="1"/>
    <col min="12" max="12" width="57" customWidth="1"/>
  </cols>
  <sheetData>
    <row r="1" spans="1:12" x14ac:dyDescent="0.3">
      <c r="A1" s="70" t="s">
        <v>102</v>
      </c>
      <c r="B1" s="70"/>
      <c r="C1" s="41"/>
      <c r="D1" s="41"/>
      <c r="E1" s="41"/>
      <c r="J1" s="36"/>
      <c r="K1" s="36"/>
    </row>
    <row r="2" spans="1:12" x14ac:dyDescent="0.3">
      <c r="A2" s="32"/>
      <c r="B2" s="32"/>
      <c r="J2" s="36"/>
      <c r="K2" s="36"/>
    </row>
    <row r="3" spans="1:12" x14ac:dyDescent="0.3">
      <c r="D3" s="18" t="s">
        <v>20</v>
      </c>
      <c r="E3" s="18"/>
      <c r="F3" s="18" t="s">
        <v>19</v>
      </c>
      <c r="J3" s="37"/>
      <c r="K3" s="37"/>
    </row>
    <row r="4" spans="1:12" x14ac:dyDescent="0.3">
      <c r="A4" s="12">
        <v>43616</v>
      </c>
      <c r="B4" s="12" t="s">
        <v>42</v>
      </c>
      <c r="C4" s="9">
        <v>100000</v>
      </c>
      <c r="J4" s="37"/>
      <c r="K4" s="45"/>
      <c r="L4" s="46"/>
    </row>
    <row r="5" spans="1:12" x14ac:dyDescent="0.3">
      <c r="A5" s="12">
        <v>43622</v>
      </c>
      <c r="B5" s="12" t="s">
        <v>59</v>
      </c>
      <c r="C5" s="9">
        <v>-2000</v>
      </c>
      <c r="D5" s="77">
        <f>(A7-A5)/(A7-A4)</f>
        <v>0.8</v>
      </c>
      <c r="E5" s="44" t="s">
        <v>98</v>
      </c>
      <c r="F5" s="29">
        <f>C5*D5</f>
        <v>-1600</v>
      </c>
      <c r="G5" s="29" t="s">
        <v>48</v>
      </c>
      <c r="I5" s="13"/>
      <c r="J5" s="39"/>
      <c r="K5" s="45"/>
    </row>
    <row r="6" spans="1:12" x14ac:dyDescent="0.3">
      <c r="A6" s="12">
        <v>43627</v>
      </c>
      <c r="B6" s="12" t="s">
        <v>59</v>
      </c>
      <c r="C6" s="9">
        <v>20000</v>
      </c>
      <c r="D6" s="77">
        <f>(A7-A6)/(A7-A4)</f>
        <v>0.6333333333333333</v>
      </c>
      <c r="E6" s="44" t="s">
        <v>99</v>
      </c>
      <c r="F6" s="29">
        <f>C6*D6</f>
        <v>12666.666666666666</v>
      </c>
      <c r="G6" s="29" t="s">
        <v>80</v>
      </c>
      <c r="I6" s="13"/>
      <c r="J6" s="39"/>
      <c r="K6" s="45"/>
    </row>
    <row r="7" spans="1:12" x14ac:dyDescent="0.3">
      <c r="A7" s="12">
        <v>43646</v>
      </c>
      <c r="B7" s="12" t="s">
        <v>54</v>
      </c>
      <c r="C7" s="9">
        <v>135000</v>
      </c>
    </row>
    <row r="8" spans="1:12" x14ac:dyDescent="0.3">
      <c r="C8" s="9"/>
      <c r="J8" s="15"/>
    </row>
    <row r="9" spans="1:12" x14ac:dyDescent="0.3">
      <c r="A9" t="s">
        <v>56</v>
      </c>
      <c r="C9" s="31">
        <f>C5+C6</f>
        <v>18000</v>
      </c>
      <c r="D9" s="31" t="s">
        <v>82</v>
      </c>
      <c r="J9" s="2"/>
    </row>
    <row r="10" spans="1:12" x14ac:dyDescent="0.3">
      <c r="A10" t="s">
        <v>57</v>
      </c>
      <c r="C10" s="9">
        <f>F5+F6</f>
        <v>11066.666666666666</v>
      </c>
      <c r="D10" s="31" t="s">
        <v>83</v>
      </c>
    </row>
    <row r="12" spans="1:12" x14ac:dyDescent="0.3">
      <c r="A12" t="s">
        <v>21</v>
      </c>
      <c r="C12" s="29">
        <f>C7-C4-C5-C6</f>
        <v>17000</v>
      </c>
      <c r="D12" s="29" t="s">
        <v>84</v>
      </c>
      <c r="J12" s="15"/>
    </row>
    <row r="13" spans="1:12" x14ac:dyDescent="0.3">
      <c r="A13" t="s">
        <v>22</v>
      </c>
      <c r="C13" s="72">
        <f>C4+F5+F6</f>
        <v>111066.66666666667</v>
      </c>
      <c r="D13" s="29" t="s">
        <v>85</v>
      </c>
      <c r="J13" s="14"/>
    </row>
    <row r="14" spans="1:12" x14ac:dyDescent="0.3">
      <c r="A14" t="s">
        <v>23</v>
      </c>
      <c r="C14" s="34">
        <f>C12/C13</f>
        <v>0.15306122448979592</v>
      </c>
      <c r="D14" s="34" t="s">
        <v>86</v>
      </c>
      <c r="J14" s="2"/>
    </row>
    <row r="19" spans="4:4" x14ac:dyDescent="0.3">
      <c r="D19" s="14"/>
    </row>
    <row r="22" spans="4:4" x14ac:dyDescent="0.3">
      <c r="D22" s="69"/>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839C0-8195-4E8E-B6C8-BAE374D66E94}">
  <sheetPr codeName="Sheet4"/>
  <dimension ref="A1:N34"/>
  <sheetViews>
    <sheetView workbookViewId="0">
      <selection activeCell="F6" sqref="F6"/>
    </sheetView>
  </sheetViews>
  <sheetFormatPr defaultRowHeight="14.4" x14ac:dyDescent="0.3"/>
  <cols>
    <col min="1" max="1" width="31.33203125" bestFit="1" customWidth="1"/>
    <col min="2" max="2" width="5.109375" bestFit="1" customWidth="1"/>
    <col min="3" max="3" width="11.5546875" bestFit="1" customWidth="1"/>
    <col min="4" max="4" width="14.109375" bestFit="1" customWidth="1"/>
    <col min="5" max="5" width="30" bestFit="1" customWidth="1"/>
    <col min="6" max="6" width="12.33203125" customWidth="1"/>
    <col min="7" max="7" width="15.33203125" customWidth="1"/>
    <col min="9" max="9" width="12" bestFit="1" customWidth="1"/>
    <col min="10" max="10" width="12.44140625" bestFit="1" customWidth="1"/>
    <col min="11" max="11" width="10.5546875" bestFit="1" customWidth="1"/>
    <col min="13" max="13" width="52.33203125" customWidth="1"/>
    <col min="14" max="14" width="43.6640625" customWidth="1"/>
  </cols>
  <sheetData>
    <row r="1" spans="1:14" x14ac:dyDescent="0.3">
      <c r="A1" s="70" t="s">
        <v>103</v>
      </c>
      <c r="B1" s="70"/>
      <c r="C1" s="41"/>
      <c r="D1" s="41"/>
      <c r="E1" s="41"/>
      <c r="J1" s="36"/>
      <c r="K1" s="36"/>
    </row>
    <row r="2" spans="1:14" x14ac:dyDescent="0.3">
      <c r="A2" s="32"/>
      <c r="B2" s="32"/>
      <c r="J2" s="36"/>
      <c r="K2" s="36"/>
    </row>
    <row r="3" spans="1:14" x14ac:dyDescent="0.3">
      <c r="D3" s="18" t="s">
        <v>58</v>
      </c>
      <c r="E3" s="18"/>
      <c r="F3" s="18" t="s">
        <v>19</v>
      </c>
      <c r="J3" s="37"/>
      <c r="K3" s="37"/>
      <c r="M3" s="37"/>
    </row>
    <row r="4" spans="1:14" x14ac:dyDescent="0.3">
      <c r="A4" s="12">
        <v>43616</v>
      </c>
      <c r="B4" s="12" t="s">
        <v>42</v>
      </c>
      <c r="C4" s="9">
        <v>100000</v>
      </c>
      <c r="J4" s="37"/>
      <c r="K4" s="37"/>
      <c r="M4" s="45"/>
      <c r="N4" s="46"/>
    </row>
    <row r="5" spans="1:14" x14ac:dyDescent="0.3">
      <c r="A5" s="12">
        <v>43622</v>
      </c>
      <c r="B5" s="12" t="s">
        <v>59</v>
      </c>
      <c r="C5" s="9">
        <v>-2000</v>
      </c>
      <c r="D5" s="57">
        <f>(A7-A5+1)/(A7-A4)</f>
        <v>0.83333333333333337</v>
      </c>
      <c r="E5" s="44" t="s">
        <v>100</v>
      </c>
      <c r="F5" s="29">
        <f>C5*D5</f>
        <v>-1666.6666666666667</v>
      </c>
      <c r="G5" s="29" t="s">
        <v>48</v>
      </c>
      <c r="I5" s="13"/>
      <c r="J5" s="39"/>
      <c r="K5" s="39"/>
      <c r="M5" s="45"/>
      <c r="N5" s="46"/>
    </row>
    <row r="6" spans="1:14" x14ac:dyDescent="0.3">
      <c r="A6" s="12">
        <v>43627</v>
      </c>
      <c r="B6" s="12" t="s">
        <v>59</v>
      </c>
      <c r="C6" s="9">
        <v>20000</v>
      </c>
      <c r="D6" s="57">
        <f>(A7-A6+1)/(A7-A4)</f>
        <v>0.66666666666666663</v>
      </c>
      <c r="E6" s="44" t="s">
        <v>101</v>
      </c>
      <c r="F6" s="29">
        <f>C6*D6</f>
        <v>13333.333333333332</v>
      </c>
      <c r="G6" s="29" t="s">
        <v>80</v>
      </c>
      <c r="I6" s="13"/>
      <c r="J6" s="39"/>
      <c r="K6" s="39"/>
    </row>
    <row r="7" spans="1:14" x14ac:dyDescent="0.3">
      <c r="A7" s="12">
        <v>43646</v>
      </c>
      <c r="B7" s="12" t="s">
        <v>54</v>
      </c>
      <c r="C7" s="9">
        <v>135000</v>
      </c>
    </row>
    <row r="8" spans="1:14" x14ac:dyDescent="0.3">
      <c r="C8" s="9"/>
      <c r="J8" s="14"/>
    </row>
    <row r="9" spans="1:14" x14ac:dyDescent="0.3">
      <c r="A9" t="s">
        <v>56</v>
      </c>
      <c r="C9" s="31">
        <f>C5+C6</f>
        <v>18000</v>
      </c>
      <c r="D9" s="31" t="s">
        <v>82</v>
      </c>
      <c r="J9" s="2"/>
    </row>
    <row r="10" spans="1:14" x14ac:dyDescent="0.3">
      <c r="A10" t="s">
        <v>57</v>
      </c>
      <c r="C10" s="31">
        <f>F5+F6</f>
        <v>11666.666666666666</v>
      </c>
      <c r="D10" s="31" t="s">
        <v>83</v>
      </c>
    </row>
    <row r="12" spans="1:14" x14ac:dyDescent="0.3">
      <c r="A12" t="s">
        <v>21</v>
      </c>
      <c r="C12" s="29">
        <f>C7-C4-C5-C6</f>
        <v>17000</v>
      </c>
      <c r="D12" s="29" t="s">
        <v>84</v>
      </c>
      <c r="I12" s="15"/>
    </row>
    <row r="13" spans="1:14" x14ac:dyDescent="0.3">
      <c r="A13" t="s">
        <v>22</v>
      </c>
      <c r="C13" s="29">
        <f>C4+F5+F6</f>
        <v>111666.66666666666</v>
      </c>
      <c r="D13" s="29" t="s">
        <v>85</v>
      </c>
      <c r="I13" s="14"/>
    </row>
    <row r="14" spans="1:14" x14ac:dyDescent="0.3">
      <c r="A14" t="s">
        <v>23</v>
      </c>
      <c r="C14" s="34">
        <f>C12/C13</f>
        <v>0.15223880597014927</v>
      </c>
      <c r="D14" s="34" t="s">
        <v>86</v>
      </c>
      <c r="I14" s="2"/>
    </row>
    <row r="29" spans="8:8" x14ac:dyDescent="0.3">
      <c r="H29" s="2"/>
    </row>
    <row r="33" spans="8:9" x14ac:dyDescent="0.3">
      <c r="H33" s="2"/>
    </row>
    <row r="34" spans="8:9" x14ac:dyDescent="0.3">
      <c r="I34" s="13"/>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DC01A-DC51-4D80-80AF-A25B4E159D09}">
  <sheetPr codeName="Sheet5"/>
  <dimension ref="A1:O20"/>
  <sheetViews>
    <sheetView workbookViewId="0">
      <selection activeCell="F6" sqref="F6"/>
    </sheetView>
  </sheetViews>
  <sheetFormatPr defaultRowHeight="14.4" x14ac:dyDescent="0.3"/>
  <cols>
    <col min="1" max="1" width="26.44140625" customWidth="1"/>
    <col min="2" max="2" width="5.109375" bestFit="1" customWidth="1"/>
    <col min="3" max="3" width="11.5546875" bestFit="1" customWidth="1"/>
    <col min="4" max="4" width="22.44140625" bestFit="1" customWidth="1"/>
    <col min="5" max="5" width="27.88671875" bestFit="1" customWidth="1"/>
    <col min="6" max="6" width="11" bestFit="1" customWidth="1"/>
    <col min="10" max="10" width="15" customWidth="1"/>
    <col min="11" max="11" width="10.109375" customWidth="1"/>
    <col min="12" max="12" width="52.6640625" bestFit="1" customWidth="1"/>
    <col min="13" max="13" width="55.6640625" customWidth="1"/>
    <col min="14" max="14" width="10.5546875" bestFit="1" customWidth="1"/>
    <col min="15" max="15" width="12" bestFit="1" customWidth="1"/>
  </cols>
  <sheetData>
    <row r="1" spans="1:15" x14ac:dyDescent="0.3">
      <c r="A1" s="32" t="s">
        <v>104</v>
      </c>
      <c r="B1" s="32"/>
      <c r="J1" s="36"/>
      <c r="K1" s="36"/>
    </row>
    <row r="2" spans="1:15" x14ac:dyDescent="0.3">
      <c r="J2" s="37"/>
      <c r="K2" s="37"/>
      <c r="M2" s="46"/>
    </row>
    <row r="3" spans="1:15" x14ac:dyDescent="0.3">
      <c r="D3" s="18" t="s">
        <v>20</v>
      </c>
      <c r="E3" s="18"/>
      <c r="F3" s="18" t="s">
        <v>19</v>
      </c>
      <c r="J3" s="37"/>
      <c r="K3" s="37"/>
    </row>
    <row r="4" spans="1:15" x14ac:dyDescent="0.3">
      <c r="A4" s="12">
        <v>43616</v>
      </c>
      <c r="B4" s="12" t="s">
        <v>42</v>
      </c>
      <c r="C4" s="9">
        <v>100000</v>
      </c>
      <c r="J4" s="37"/>
      <c r="K4" s="37"/>
    </row>
    <row r="5" spans="1:15" x14ac:dyDescent="0.3">
      <c r="A5" s="12">
        <v>43622</v>
      </c>
      <c r="B5" s="12" t="s">
        <v>59</v>
      </c>
      <c r="C5" s="9">
        <v>-2000</v>
      </c>
      <c r="D5" s="44">
        <f>(A7-A5)/(A7-A4)</f>
        <v>0.45454545454545453</v>
      </c>
      <c r="E5" s="71" t="s">
        <v>98</v>
      </c>
      <c r="F5" s="72">
        <f>C5*D5</f>
        <v>-909.09090909090901</v>
      </c>
      <c r="G5" s="72" t="s">
        <v>48</v>
      </c>
      <c r="J5" s="14"/>
      <c r="K5" s="14"/>
    </row>
    <row r="6" spans="1:15" x14ac:dyDescent="0.3">
      <c r="A6" s="12">
        <v>43627</v>
      </c>
      <c r="B6" s="12" t="s">
        <v>59</v>
      </c>
      <c r="C6" s="9">
        <v>20000</v>
      </c>
      <c r="D6" s="44">
        <f>(A7-A6)/(A7-A4)</f>
        <v>0</v>
      </c>
      <c r="E6" s="71" t="s">
        <v>99</v>
      </c>
      <c r="F6" s="72">
        <f>C6*D6</f>
        <v>0</v>
      </c>
      <c r="G6" s="72" t="s">
        <v>80</v>
      </c>
      <c r="M6" s="15"/>
      <c r="N6" s="14"/>
      <c r="O6" s="2"/>
    </row>
    <row r="7" spans="1:15" x14ac:dyDescent="0.3">
      <c r="A7" s="12">
        <v>43627</v>
      </c>
      <c r="B7" s="12" t="s">
        <v>60</v>
      </c>
      <c r="C7" s="9">
        <v>125000</v>
      </c>
      <c r="D7" s="13"/>
      <c r="E7" s="13"/>
      <c r="F7" s="14"/>
    </row>
    <row r="8" spans="1:15" x14ac:dyDescent="0.3">
      <c r="A8" s="12">
        <v>43646</v>
      </c>
      <c r="B8" s="12" t="s">
        <v>54</v>
      </c>
      <c r="C8" s="9">
        <v>135000</v>
      </c>
      <c r="M8" s="15"/>
      <c r="N8" s="15"/>
      <c r="O8" s="2"/>
    </row>
    <row r="9" spans="1:15" x14ac:dyDescent="0.3">
      <c r="C9" s="9"/>
      <c r="D9" s="41"/>
      <c r="J9" s="14"/>
    </row>
    <row r="10" spans="1:15" x14ac:dyDescent="0.3">
      <c r="A10" t="s">
        <v>25</v>
      </c>
      <c r="D10" s="41"/>
      <c r="J10" s="15"/>
      <c r="O10" s="2"/>
    </row>
    <row r="11" spans="1:15" x14ac:dyDescent="0.3">
      <c r="A11" t="s">
        <v>21</v>
      </c>
      <c r="C11" s="29">
        <f>C7-C4-C5-C6</f>
        <v>7000</v>
      </c>
      <c r="D11" s="72" t="s">
        <v>84</v>
      </c>
      <c r="J11" s="2"/>
    </row>
    <row r="12" spans="1:15" x14ac:dyDescent="0.3">
      <c r="A12" t="s">
        <v>22</v>
      </c>
      <c r="C12" s="29">
        <f>C4+F5+F6</f>
        <v>99090.909090909088</v>
      </c>
      <c r="D12" s="72" t="s">
        <v>85</v>
      </c>
    </row>
    <row r="13" spans="1:15" x14ac:dyDescent="0.3">
      <c r="A13" t="s">
        <v>23</v>
      </c>
      <c r="C13" s="34">
        <f>C11/C12</f>
        <v>7.0642201834862389E-2</v>
      </c>
      <c r="D13" s="58" t="s">
        <v>110</v>
      </c>
    </row>
    <row r="14" spans="1:15" x14ac:dyDescent="0.3">
      <c r="D14" s="41"/>
    </row>
    <row r="15" spans="1:15" x14ac:dyDescent="0.3">
      <c r="A15" t="s">
        <v>26</v>
      </c>
      <c r="D15" s="41"/>
      <c r="J15" s="2"/>
    </row>
    <row r="16" spans="1:15" x14ac:dyDescent="0.3">
      <c r="A16" t="s">
        <v>21</v>
      </c>
      <c r="C16" s="29">
        <f>C8-C7</f>
        <v>10000</v>
      </c>
      <c r="D16" s="72" t="s">
        <v>111</v>
      </c>
    </row>
    <row r="17" spans="1:10" x14ac:dyDescent="0.3">
      <c r="A17" t="s">
        <v>22</v>
      </c>
      <c r="C17" s="29">
        <f>C7</f>
        <v>125000</v>
      </c>
      <c r="D17" s="72" t="s">
        <v>112</v>
      </c>
    </row>
    <row r="18" spans="1:10" x14ac:dyDescent="0.3">
      <c r="A18" t="s">
        <v>23</v>
      </c>
      <c r="C18" s="34">
        <f>C16/C17</f>
        <v>0.08</v>
      </c>
      <c r="D18" s="58" t="s">
        <v>113</v>
      </c>
      <c r="J18" s="2"/>
    </row>
    <row r="19" spans="1:10" x14ac:dyDescent="0.3">
      <c r="D19" s="41"/>
    </row>
    <row r="20" spans="1:10" x14ac:dyDescent="0.3">
      <c r="A20" t="s">
        <v>27</v>
      </c>
      <c r="C20" s="34">
        <f>(1+C13)*(1+C18)-1</f>
        <v>0.15629357798165144</v>
      </c>
      <c r="D20" s="58" t="s">
        <v>114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3:P27"/>
  <sheetViews>
    <sheetView workbookViewId="0">
      <selection activeCell="H25" sqref="H25"/>
    </sheetView>
  </sheetViews>
  <sheetFormatPr defaultRowHeight="14.4" x14ac:dyDescent="0.3"/>
  <cols>
    <col min="1" max="3" width="12.6640625" customWidth="1"/>
    <col min="5" max="5" width="10.5546875" bestFit="1" customWidth="1"/>
    <col min="6" max="6" width="12" bestFit="1" customWidth="1"/>
    <col min="7" max="7" width="13.44140625" customWidth="1"/>
    <col min="8" max="8" width="12" bestFit="1" customWidth="1"/>
    <col min="9" max="9" width="11.109375" bestFit="1" customWidth="1"/>
    <col min="10" max="10" width="19.33203125" bestFit="1" customWidth="1"/>
    <col min="11" max="11" width="31.5546875" bestFit="1" customWidth="1"/>
    <col min="12" max="12" width="13.88671875" customWidth="1"/>
    <col min="13" max="13" width="13.5546875" customWidth="1"/>
    <col min="14" max="14" width="12.6640625" bestFit="1" customWidth="1"/>
    <col min="15" max="15" width="14" bestFit="1" customWidth="1"/>
  </cols>
  <sheetData>
    <row r="3" spans="1:16" x14ac:dyDescent="0.3">
      <c r="L3" s="38"/>
      <c r="M3" s="18"/>
      <c r="N3" s="18"/>
      <c r="O3" s="18"/>
      <c r="P3" s="18"/>
    </row>
    <row r="4" spans="1:16" x14ac:dyDescent="0.3">
      <c r="A4" s="82" t="s">
        <v>35</v>
      </c>
      <c r="B4" s="82"/>
      <c r="C4" s="82"/>
      <c r="D4" s="82"/>
      <c r="E4" s="82"/>
      <c r="F4" s="82"/>
      <c r="G4" s="82"/>
      <c r="H4" s="82"/>
      <c r="I4" s="20"/>
      <c r="J4" s="20"/>
      <c r="K4" s="20"/>
      <c r="L4" s="38"/>
      <c r="M4" s="82" t="s">
        <v>106</v>
      </c>
      <c r="N4" s="82"/>
      <c r="O4" s="82"/>
      <c r="P4" s="82"/>
    </row>
    <row r="5" spans="1:16" ht="43.2" x14ac:dyDescent="0.3">
      <c r="A5" s="5" t="s">
        <v>2</v>
      </c>
      <c r="B5" s="65" t="s">
        <v>39</v>
      </c>
      <c r="C5" s="65" t="s">
        <v>40</v>
      </c>
      <c r="D5" s="65" t="s">
        <v>28</v>
      </c>
      <c r="E5" s="5" t="s">
        <v>29</v>
      </c>
      <c r="F5" s="65" t="s">
        <v>21</v>
      </c>
      <c r="G5" s="65" t="s">
        <v>22</v>
      </c>
      <c r="H5" s="5" t="s">
        <v>23</v>
      </c>
      <c r="L5" s="38"/>
      <c r="M5" s="66" t="s">
        <v>30</v>
      </c>
      <c r="N5" s="67" t="s">
        <v>31</v>
      </c>
      <c r="O5" s="67" t="s">
        <v>32</v>
      </c>
      <c r="P5" s="66" t="s">
        <v>33</v>
      </c>
    </row>
    <row r="6" spans="1:16" x14ac:dyDescent="0.3">
      <c r="A6" s="10">
        <v>42735</v>
      </c>
      <c r="B6" s="15"/>
      <c r="C6" s="15">
        <v>2000000</v>
      </c>
      <c r="D6">
        <f t="shared" ref="D6:D19" si="0">A6-$A$6</f>
        <v>0</v>
      </c>
      <c r="E6" s="9">
        <f>C6*($D$19-$D$6)/$D$19</f>
        <v>2000000</v>
      </c>
      <c r="L6" s="41"/>
      <c r="M6" s="10">
        <v>42735</v>
      </c>
      <c r="N6" s="15">
        <v>-2000000</v>
      </c>
      <c r="O6" s="1">
        <f t="shared" ref="O6:O18" si="1">N6*(1+$N$20)^(P6/365)</f>
        <v>-2150908.3563857372</v>
      </c>
      <c r="P6">
        <f t="shared" ref="P6:P19" si="2">$A$19-M6</f>
        <v>1461</v>
      </c>
    </row>
    <row r="7" spans="1:16" x14ac:dyDescent="0.3">
      <c r="A7" s="10">
        <v>42743</v>
      </c>
      <c r="B7" s="15"/>
      <c r="C7" s="15">
        <v>200000</v>
      </c>
      <c r="D7">
        <f t="shared" si="0"/>
        <v>8</v>
      </c>
      <c r="E7" s="9">
        <f>C7*($D$19-$D$7)/$D$19</f>
        <v>198904.85968514715</v>
      </c>
      <c r="L7" s="73"/>
      <c r="M7" s="10">
        <v>42743</v>
      </c>
      <c r="N7" s="15">
        <v>-200000</v>
      </c>
      <c r="O7" s="1">
        <f t="shared" si="1"/>
        <v>-215005.17786638267</v>
      </c>
      <c r="P7">
        <f t="shared" si="2"/>
        <v>1453</v>
      </c>
    </row>
    <row r="8" spans="1:16" x14ac:dyDescent="0.3">
      <c r="A8" s="10">
        <v>43093</v>
      </c>
      <c r="B8" s="15"/>
      <c r="C8" s="15">
        <v>-50000</v>
      </c>
      <c r="D8">
        <f t="shared" si="0"/>
        <v>358</v>
      </c>
      <c r="E8" s="9">
        <f>C8*($D$19-$D$8)/$D$19</f>
        <v>-37748.117727583849</v>
      </c>
      <c r="L8" s="73"/>
      <c r="M8" s="10">
        <v>43093</v>
      </c>
      <c r="N8" s="15">
        <v>50000</v>
      </c>
      <c r="O8" s="1">
        <f t="shared" si="1"/>
        <v>52822.713602418269</v>
      </c>
      <c r="P8">
        <f t="shared" si="2"/>
        <v>1103</v>
      </c>
    </row>
    <row r="9" spans="1:16" x14ac:dyDescent="0.3">
      <c r="A9" s="10">
        <v>43151</v>
      </c>
      <c r="B9" s="15"/>
      <c r="C9" s="15">
        <v>-200000</v>
      </c>
      <c r="D9">
        <f t="shared" si="0"/>
        <v>416</v>
      </c>
      <c r="E9" s="9">
        <f>C9*($D$19-$D$9)/$D$19</f>
        <v>-143052.70362765228</v>
      </c>
      <c r="G9" s="15"/>
      <c r="L9" s="73"/>
      <c r="M9" s="10">
        <v>43151</v>
      </c>
      <c r="N9" s="9">
        <v>200000</v>
      </c>
      <c r="O9" s="1">
        <f t="shared" si="1"/>
        <v>210681.56569388838</v>
      </c>
      <c r="P9">
        <f t="shared" si="2"/>
        <v>1045</v>
      </c>
    </row>
    <row r="10" spans="1:16" x14ac:dyDescent="0.3">
      <c r="A10" s="10">
        <v>43165</v>
      </c>
      <c r="B10" s="15"/>
      <c r="C10" s="15">
        <v>150000</v>
      </c>
      <c r="D10">
        <f t="shared" si="0"/>
        <v>430</v>
      </c>
      <c r="E10" s="9">
        <f>C10*($D$19-$D$10)/$D$19</f>
        <v>105852.15605749487</v>
      </c>
      <c r="G10" s="15"/>
      <c r="L10" s="73"/>
      <c r="M10" s="10">
        <v>43165</v>
      </c>
      <c r="N10" s="9">
        <v>-150000</v>
      </c>
      <c r="O10" s="1">
        <f t="shared" si="1"/>
        <v>-157901.06957170111</v>
      </c>
      <c r="P10">
        <f t="shared" si="2"/>
        <v>1031</v>
      </c>
    </row>
    <row r="11" spans="1:16" x14ac:dyDescent="0.3">
      <c r="A11" s="10">
        <v>43445</v>
      </c>
      <c r="B11" s="15"/>
      <c r="C11" s="15">
        <v>-20000</v>
      </c>
      <c r="D11">
        <f t="shared" si="0"/>
        <v>710</v>
      </c>
      <c r="E11" s="9">
        <f>C11*($D$19-$D$11)/$D$19</f>
        <v>-10280.62970568104</v>
      </c>
      <c r="G11" s="15"/>
      <c r="L11" s="73"/>
      <c r="M11" s="10">
        <v>43445</v>
      </c>
      <c r="N11" s="9">
        <v>20000</v>
      </c>
      <c r="O11" s="1">
        <f t="shared" si="1"/>
        <v>20762.002197854468</v>
      </c>
      <c r="P11">
        <f t="shared" si="2"/>
        <v>751</v>
      </c>
    </row>
    <row r="12" spans="1:16" x14ac:dyDescent="0.3">
      <c r="A12" s="10">
        <v>43641</v>
      </c>
      <c r="B12" s="15"/>
      <c r="C12" s="15">
        <v>100000</v>
      </c>
      <c r="D12">
        <f t="shared" si="0"/>
        <v>906</v>
      </c>
      <c r="E12" s="9">
        <f>C12*($D$19-$D$12)/$D$19</f>
        <v>37987.679671457903</v>
      </c>
      <c r="G12" s="15"/>
      <c r="L12" s="73"/>
      <c r="M12" s="10">
        <v>43641</v>
      </c>
      <c r="N12" s="9">
        <v>-100000</v>
      </c>
      <c r="O12" s="1">
        <f t="shared" si="1"/>
        <v>-102801.8745738202</v>
      </c>
      <c r="P12">
        <f t="shared" si="2"/>
        <v>555</v>
      </c>
    </row>
    <row r="13" spans="1:16" x14ac:dyDescent="0.3">
      <c r="A13" s="10">
        <v>43649</v>
      </c>
      <c r="B13" s="15"/>
      <c r="C13" s="15">
        <v>30000</v>
      </c>
      <c r="D13">
        <f t="shared" si="0"/>
        <v>914</v>
      </c>
      <c r="E13" s="9">
        <f>C13*($D$19-$D$13)/$D$19</f>
        <v>11232.032854209445</v>
      </c>
      <c r="G13" s="15"/>
      <c r="L13" s="73"/>
      <c r="M13" s="10">
        <v>43649</v>
      </c>
      <c r="N13" s="9">
        <v>-30000</v>
      </c>
      <c r="O13" s="1">
        <f t="shared" si="1"/>
        <v>-30828.280426901514</v>
      </c>
      <c r="P13">
        <f t="shared" si="2"/>
        <v>547</v>
      </c>
    </row>
    <row r="14" spans="1:16" x14ac:dyDescent="0.3">
      <c r="A14" s="10">
        <v>43691</v>
      </c>
      <c r="B14" s="15"/>
      <c r="C14" s="15">
        <v>-50000</v>
      </c>
      <c r="D14">
        <f t="shared" si="0"/>
        <v>956</v>
      </c>
      <c r="E14" s="9">
        <f>C14*($D$19-$D$14)/$D$19</f>
        <v>-17282.683093771389</v>
      </c>
      <c r="G14" s="15"/>
      <c r="L14" s="73"/>
      <c r="M14" s="10">
        <v>43691</v>
      </c>
      <c r="N14" s="9">
        <v>50000</v>
      </c>
      <c r="O14" s="1">
        <f t="shared" si="1"/>
        <v>51273.134024553838</v>
      </c>
      <c r="P14">
        <f t="shared" si="2"/>
        <v>505</v>
      </c>
    </row>
    <row r="15" spans="1:16" x14ac:dyDescent="0.3">
      <c r="A15" s="10">
        <v>43911</v>
      </c>
      <c r="B15" s="15"/>
      <c r="C15" s="15">
        <v>-200000</v>
      </c>
      <c r="D15">
        <f t="shared" si="0"/>
        <v>1176</v>
      </c>
      <c r="E15" s="9">
        <f>C15*($D$19-$D$15)/$D$19</f>
        <v>-39014.373716632443</v>
      </c>
      <c r="G15" s="15"/>
      <c r="L15" s="73"/>
      <c r="M15" s="10">
        <v>43911</v>
      </c>
      <c r="N15" s="9">
        <v>200000</v>
      </c>
      <c r="O15" s="1">
        <f t="shared" si="1"/>
        <v>202858.25662096718</v>
      </c>
      <c r="P15">
        <f t="shared" si="2"/>
        <v>285</v>
      </c>
    </row>
    <row r="16" spans="1:16" x14ac:dyDescent="0.3">
      <c r="A16" s="10">
        <v>43986</v>
      </c>
      <c r="B16" s="15"/>
      <c r="C16" s="15">
        <v>80000</v>
      </c>
      <c r="D16">
        <f t="shared" si="0"/>
        <v>1251</v>
      </c>
      <c r="E16" s="9">
        <f>C16*($D$19-$D$16)/$D$19</f>
        <v>11498.973305954825</v>
      </c>
      <c r="G16" s="15"/>
      <c r="L16" s="73"/>
      <c r="M16" s="10">
        <v>43986</v>
      </c>
      <c r="N16" s="9">
        <v>-80000</v>
      </c>
      <c r="O16" s="1">
        <f t="shared" si="1"/>
        <v>-80840.858847436568</v>
      </c>
      <c r="P16">
        <f t="shared" si="2"/>
        <v>210</v>
      </c>
    </row>
    <row r="17" spans="1:16" x14ac:dyDescent="0.3">
      <c r="A17" s="10">
        <v>44157</v>
      </c>
      <c r="B17" s="15"/>
      <c r="C17" s="15">
        <v>-50000</v>
      </c>
      <c r="D17">
        <f t="shared" si="0"/>
        <v>1422</v>
      </c>
      <c r="E17" s="9">
        <f>C17*($D$19-$D$17)/$D$19</f>
        <v>-1334.7022587268993</v>
      </c>
      <c r="G17" s="15"/>
      <c r="L17" s="73"/>
      <c r="M17" s="10">
        <v>44157</v>
      </c>
      <c r="N17" s="9">
        <v>50000</v>
      </c>
      <c r="O17" s="1">
        <f t="shared" si="1"/>
        <v>50097.184657792961</v>
      </c>
      <c r="P17">
        <f t="shared" si="2"/>
        <v>39</v>
      </c>
    </row>
    <row r="18" spans="1:16" x14ac:dyDescent="0.3">
      <c r="A18" s="10">
        <v>44168</v>
      </c>
      <c r="B18" s="15"/>
      <c r="C18" s="15">
        <v>150000</v>
      </c>
      <c r="D18">
        <f t="shared" si="0"/>
        <v>1433</v>
      </c>
      <c r="E18" s="9">
        <f>C18*($D$19-$D$18)/$D$19</f>
        <v>2874.7433264887063</v>
      </c>
      <c r="G18" s="15"/>
      <c r="L18" s="73"/>
      <c r="M18" s="10">
        <v>44168</v>
      </c>
      <c r="N18" s="9">
        <v>-150000</v>
      </c>
      <c r="O18" s="1">
        <f t="shared" si="1"/>
        <v>-150209.26347196213</v>
      </c>
      <c r="P18">
        <f t="shared" si="2"/>
        <v>28</v>
      </c>
    </row>
    <row r="19" spans="1:16" x14ac:dyDescent="0.3">
      <c r="A19" s="10">
        <v>44196</v>
      </c>
      <c r="B19" s="15">
        <v>2300000</v>
      </c>
      <c r="C19" s="15"/>
      <c r="D19">
        <f t="shared" si="0"/>
        <v>1461</v>
      </c>
      <c r="E19" s="15"/>
      <c r="F19" s="15">
        <f>(B19-SUM(C6:C18))</f>
        <v>160000</v>
      </c>
      <c r="G19" s="15">
        <f>SUM(E6:E18)</f>
        <v>2119637.2347707055</v>
      </c>
      <c r="H19" s="48">
        <f>F19/G19</f>
        <v>7.5484614713945714E-2</v>
      </c>
      <c r="I19" s="2" t="s">
        <v>36</v>
      </c>
      <c r="J19" s="48" t="s">
        <v>90</v>
      </c>
      <c r="K19" s="2"/>
      <c r="L19" s="73"/>
      <c r="M19" s="10">
        <v>44196</v>
      </c>
      <c r="N19" s="9">
        <v>2300000</v>
      </c>
      <c r="O19" s="15">
        <f>N19</f>
        <v>2300000</v>
      </c>
      <c r="P19">
        <f t="shared" si="2"/>
        <v>0</v>
      </c>
    </row>
    <row r="20" spans="1:16" x14ac:dyDescent="0.3">
      <c r="A20" t="s">
        <v>49</v>
      </c>
      <c r="C20" s="15">
        <f>SUM(C6:C19)</f>
        <v>2140000</v>
      </c>
      <c r="E20" s="15">
        <f>SUM(E6:E19)</f>
        <v>2119637.2347707055</v>
      </c>
      <c r="H20" s="58">
        <f>(1+H19)^(1/H25)-1</f>
        <v>1.8346658128064686E-2</v>
      </c>
      <c r="I20" s="59" t="s">
        <v>37</v>
      </c>
      <c r="J20" s="58" t="s">
        <v>108</v>
      </c>
      <c r="K20" s="59" t="s">
        <v>105</v>
      </c>
      <c r="L20" s="73"/>
      <c r="M20" t="s">
        <v>34</v>
      </c>
      <c r="N20" s="11">
        <f>XIRR(N6:N19,M6:M19,0.1)</f>
        <v>1.8339458107948313E-2</v>
      </c>
      <c r="O20" s="19">
        <f>SUM(O6:O19)</f>
        <v>-2.4346465244889259E-2</v>
      </c>
    </row>
    <row r="21" spans="1:16" x14ac:dyDescent="0.3">
      <c r="H21" s="58">
        <f>(1+H19)^(1/4)-1</f>
        <v>1.8359338986573936E-2</v>
      </c>
      <c r="I21" s="59" t="s">
        <v>37</v>
      </c>
      <c r="J21" s="58" t="s">
        <v>88</v>
      </c>
      <c r="K21" s="59" t="s">
        <v>91</v>
      </c>
      <c r="L21" s="54"/>
    </row>
    <row r="22" spans="1:16" x14ac:dyDescent="0.3">
      <c r="C22" s="15"/>
      <c r="H22" s="47">
        <f>RATE(4,,-1,(1+H19))</f>
        <v>1.8359338986916621E-2</v>
      </c>
      <c r="I22" s="7" t="s">
        <v>37</v>
      </c>
      <c r="J22" s="47" t="s">
        <v>89</v>
      </c>
      <c r="K22" s="7" t="s">
        <v>92</v>
      </c>
      <c r="L22" s="54"/>
    </row>
    <row r="23" spans="1:16" x14ac:dyDescent="0.3">
      <c r="L23" s="41"/>
    </row>
    <row r="24" spans="1:16" x14ac:dyDescent="0.3">
      <c r="H24" s="9">
        <f>A19-A6</f>
        <v>1461</v>
      </c>
      <c r="I24" t="s">
        <v>78</v>
      </c>
      <c r="L24" s="41"/>
    </row>
    <row r="25" spans="1:16" x14ac:dyDescent="0.3">
      <c r="H25" s="60">
        <f>H24/365</f>
        <v>4.0027397260273974</v>
      </c>
      <c r="I25" t="s">
        <v>79</v>
      </c>
      <c r="L25" s="41"/>
    </row>
    <row r="26" spans="1:16" x14ac:dyDescent="0.3">
      <c r="L26" s="42"/>
    </row>
    <row r="27" spans="1:16" x14ac:dyDescent="0.3">
      <c r="L27" s="54"/>
    </row>
  </sheetData>
  <mergeCells count="2">
    <mergeCell ref="M4:P4"/>
    <mergeCell ref="A4:H4"/>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K8"/>
  <sheetViews>
    <sheetView workbookViewId="0">
      <selection activeCell="E8" sqref="E8"/>
    </sheetView>
  </sheetViews>
  <sheetFormatPr defaultColWidth="9.109375" defaultRowHeight="14.4" x14ac:dyDescent="0.3"/>
  <cols>
    <col min="1" max="1" width="16.44140625" customWidth="1"/>
    <col min="2" max="2" width="11.33203125" customWidth="1"/>
    <col min="3" max="3" width="15.88671875" bestFit="1" customWidth="1"/>
    <col min="4" max="4" width="10.33203125" customWidth="1"/>
    <col min="5" max="5" width="20.44140625" bestFit="1" customWidth="1"/>
    <col min="6" max="7" width="16.33203125" bestFit="1" customWidth="1"/>
    <col min="8" max="8" width="12" customWidth="1"/>
    <col min="9" max="12" width="13" customWidth="1"/>
    <col min="13" max="13" width="11.44140625" customWidth="1"/>
    <col min="14" max="14" width="12.109375" customWidth="1"/>
    <col min="15" max="15" width="6.5546875" customWidth="1"/>
    <col min="16" max="16" width="14.33203125" customWidth="1"/>
    <col min="17" max="17" width="11.88671875" customWidth="1"/>
    <col min="18" max="18" width="10.44140625" customWidth="1"/>
    <col min="19" max="19" width="11.6640625" customWidth="1"/>
    <col min="20" max="20" width="10.33203125" customWidth="1"/>
    <col min="21" max="21" width="11.6640625" customWidth="1"/>
    <col min="22" max="22" width="10.33203125" customWidth="1"/>
    <col min="23" max="23" width="12.6640625" customWidth="1"/>
    <col min="24" max="24" width="12.33203125" customWidth="1"/>
    <col min="25" max="25" width="11.88671875" customWidth="1"/>
    <col min="258" max="258" width="20.44140625" customWidth="1"/>
    <col min="259" max="259" width="11.33203125" customWidth="1"/>
    <col min="260" max="261" width="11" customWidth="1"/>
    <col min="262" max="262" width="5.5546875" customWidth="1"/>
    <col min="263" max="263" width="19.33203125" customWidth="1"/>
    <col min="264" max="264" width="11.33203125" customWidth="1"/>
    <col min="265" max="268" width="13" customWidth="1"/>
    <col min="269" max="269" width="11.44140625" customWidth="1"/>
    <col min="270" max="270" width="12.109375" customWidth="1"/>
    <col min="271" max="271" width="6.5546875" customWidth="1"/>
    <col min="272" max="272" width="14.33203125" customWidth="1"/>
    <col min="273" max="273" width="11.88671875" customWidth="1"/>
    <col min="274" max="274" width="10.44140625" customWidth="1"/>
    <col min="275" max="275" width="11.6640625" customWidth="1"/>
    <col min="276" max="276" width="10.33203125" customWidth="1"/>
    <col min="277" max="277" width="11.6640625" customWidth="1"/>
    <col min="278" max="278" width="10.33203125" customWidth="1"/>
    <col min="279" max="279" width="12.6640625" customWidth="1"/>
    <col min="280" max="280" width="12.33203125" customWidth="1"/>
    <col min="281" max="281" width="11.88671875" customWidth="1"/>
    <col min="514" max="514" width="20.44140625" customWidth="1"/>
    <col min="515" max="515" width="11.33203125" customWidth="1"/>
    <col min="516" max="517" width="11" customWidth="1"/>
    <col min="518" max="518" width="5.5546875" customWidth="1"/>
    <col min="519" max="519" width="19.33203125" customWidth="1"/>
    <col min="520" max="520" width="11.33203125" customWidth="1"/>
    <col min="521" max="524" width="13" customWidth="1"/>
    <col min="525" max="525" width="11.44140625" customWidth="1"/>
    <col min="526" max="526" width="12.109375" customWidth="1"/>
    <col min="527" max="527" width="6.5546875" customWidth="1"/>
    <col min="528" max="528" width="14.33203125" customWidth="1"/>
    <col min="529" max="529" width="11.88671875" customWidth="1"/>
    <col min="530" max="530" width="10.44140625" customWidth="1"/>
    <col min="531" max="531" width="11.6640625" customWidth="1"/>
    <col min="532" max="532" width="10.33203125" customWidth="1"/>
    <col min="533" max="533" width="11.6640625" customWidth="1"/>
    <col min="534" max="534" width="10.33203125" customWidth="1"/>
    <col min="535" max="535" width="12.6640625" customWidth="1"/>
    <col min="536" max="536" width="12.33203125" customWidth="1"/>
    <col min="537" max="537" width="11.88671875" customWidth="1"/>
    <col min="770" max="770" width="20.44140625" customWidth="1"/>
    <col min="771" max="771" width="11.33203125" customWidth="1"/>
    <col min="772" max="773" width="11" customWidth="1"/>
    <col min="774" max="774" width="5.5546875" customWidth="1"/>
    <col min="775" max="775" width="19.33203125" customWidth="1"/>
    <col min="776" max="776" width="11.33203125" customWidth="1"/>
    <col min="777" max="780" width="13" customWidth="1"/>
    <col min="781" max="781" width="11.44140625" customWidth="1"/>
    <col min="782" max="782" width="12.109375" customWidth="1"/>
    <col min="783" max="783" width="6.5546875" customWidth="1"/>
    <col min="784" max="784" width="14.33203125" customWidth="1"/>
    <col min="785" max="785" width="11.88671875" customWidth="1"/>
    <col min="786" max="786" width="10.44140625" customWidth="1"/>
    <col min="787" max="787" width="11.6640625" customWidth="1"/>
    <col min="788" max="788" width="10.33203125" customWidth="1"/>
    <col min="789" max="789" width="11.6640625" customWidth="1"/>
    <col min="790" max="790" width="10.33203125" customWidth="1"/>
    <col min="791" max="791" width="12.6640625" customWidth="1"/>
    <col min="792" max="792" width="12.33203125" customWidth="1"/>
    <col min="793" max="793" width="11.88671875" customWidth="1"/>
    <col min="1026" max="1026" width="20.44140625" customWidth="1"/>
    <col min="1027" max="1027" width="11.33203125" customWidth="1"/>
    <col min="1028" max="1029" width="11" customWidth="1"/>
    <col min="1030" max="1030" width="5.5546875" customWidth="1"/>
    <col min="1031" max="1031" width="19.33203125" customWidth="1"/>
    <col min="1032" max="1032" width="11.33203125" customWidth="1"/>
    <col min="1033" max="1036" width="13" customWidth="1"/>
    <col min="1037" max="1037" width="11.44140625" customWidth="1"/>
    <col min="1038" max="1038" width="12.109375" customWidth="1"/>
    <col min="1039" max="1039" width="6.5546875" customWidth="1"/>
    <col min="1040" max="1040" width="14.33203125" customWidth="1"/>
    <col min="1041" max="1041" width="11.88671875" customWidth="1"/>
    <col min="1042" max="1042" width="10.44140625" customWidth="1"/>
    <col min="1043" max="1043" width="11.6640625" customWidth="1"/>
    <col min="1044" max="1044" width="10.33203125" customWidth="1"/>
    <col min="1045" max="1045" width="11.6640625" customWidth="1"/>
    <col min="1046" max="1046" width="10.33203125" customWidth="1"/>
    <col min="1047" max="1047" width="12.6640625" customWidth="1"/>
    <col min="1048" max="1048" width="12.33203125" customWidth="1"/>
    <col min="1049" max="1049" width="11.88671875" customWidth="1"/>
    <col min="1282" max="1282" width="20.44140625" customWidth="1"/>
    <col min="1283" max="1283" width="11.33203125" customWidth="1"/>
    <col min="1284" max="1285" width="11" customWidth="1"/>
    <col min="1286" max="1286" width="5.5546875" customWidth="1"/>
    <col min="1287" max="1287" width="19.33203125" customWidth="1"/>
    <col min="1288" max="1288" width="11.33203125" customWidth="1"/>
    <col min="1289" max="1292" width="13" customWidth="1"/>
    <col min="1293" max="1293" width="11.44140625" customWidth="1"/>
    <col min="1294" max="1294" width="12.109375" customWidth="1"/>
    <col min="1295" max="1295" width="6.5546875" customWidth="1"/>
    <col min="1296" max="1296" width="14.33203125" customWidth="1"/>
    <col min="1297" max="1297" width="11.88671875" customWidth="1"/>
    <col min="1298" max="1298" width="10.44140625" customWidth="1"/>
    <col min="1299" max="1299" width="11.6640625" customWidth="1"/>
    <col min="1300" max="1300" width="10.33203125" customWidth="1"/>
    <col min="1301" max="1301" width="11.6640625" customWidth="1"/>
    <col min="1302" max="1302" width="10.33203125" customWidth="1"/>
    <col min="1303" max="1303" width="12.6640625" customWidth="1"/>
    <col min="1304" max="1304" width="12.33203125" customWidth="1"/>
    <col min="1305" max="1305" width="11.88671875" customWidth="1"/>
    <col min="1538" max="1538" width="20.44140625" customWidth="1"/>
    <col min="1539" max="1539" width="11.33203125" customWidth="1"/>
    <col min="1540" max="1541" width="11" customWidth="1"/>
    <col min="1542" max="1542" width="5.5546875" customWidth="1"/>
    <col min="1543" max="1543" width="19.33203125" customWidth="1"/>
    <col min="1544" max="1544" width="11.33203125" customWidth="1"/>
    <col min="1545" max="1548" width="13" customWidth="1"/>
    <col min="1549" max="1549" width="11.44140625" customWidth="1"/>
    <col min="1550" max="1550" width="12.109375" customWidth="1"/>
    <col min="1551" max="1551" width="6.5546875" customWidth="1"/>
    <col min="1552" max="1552" width="14.33203125" customWidth="1"/>
    <col min="1553" max="1553" width="11.88671875" customWidth="1"/>
    <col min="1554" max="1554" width="10.44140625" customWidth="1"/>
    <col min="1555" max="1555" width="11.6640625" customWidth="1"/>
    <col min="1556" max="1556" width="10.33203125" customWidth="1"/>
    <col min="1557" max="1557" width="11.6640625" customWidth="1"/>
    <col min="1558" max="1558" width="10.33203125" customWidth="1"/>
    <col min="1559" max="1559" width="12.6640625" customWidth="1"/>
    <col min="1560" max="1560" width="12.33203125" customWidth="1"/>
    <col min="1561" max="1561" width="11.88671875" customWidth="1"/>
    <col min="1794" max="1794" width="20.44140625" customWidth="1"/>
    <col min="1795" max="1795" width="11.33203125" customWidth="1"/>
    <col min="1796" max="1797" width="11" customWidth="1"/>
    <col min="1798" max="1798" width="5.5546875" customWidth="1"/>
    <col min="1799" max="1799" width="19.33203125" customWidth="1"/>
    <col min="1800" max="1800" width="11.33203125" customWidth="1"/>
    <col min="1801" max="1804" width="13" customWidth="1"/>
    <col min="1805" max="1805" width="11.44140625" customWidth="1"/>
    <col min="1806" max="1806" width="12.109375" customWidth="1"/>
    <col min="1807" max="1807" width="6.5546875" customWidth="1"/>
    <col min="1808" max="1808" width="14.33203125" customWidth="1"/>
    <col min="1809" max="1809" width="11.88671875" customWidth="1"/>
    <col min="1810" max="1810" width="10.44140625" customWidth="1"/>
    <col min="1811" max="1811" width="11.6640625" customWidth="1"/>
    <col min="1812" max="1812" width="10.33203125" customWidth="1"/>
    <col min="1813" max="1813" width="11.6640625" customWidth="1"/>
    <col min="1814" max="1814" width="10.33203125" customWidth="1"/>
    <col min="1815" max="1815" width="12.6640625" customWidth="1"/>
    <col min="1816" max="1816" width="12.33203125" customWidth="1"/>
    <col min="1817" max="1817" width="11.88671875" customWidth="1"/>
    <col min="2050" max="2050" width="20.44140625" customWidth="1"/>
    <col min="2051" max="2051" width="11.33203125" customWidth="1"/>
    <col min="2052" max="2053" width="11" customWidth="1"/>
    <col min="2054" max="2054" width="5.5546875" customWidth="1"/>
    <col min="2055" max="2055" width="19.33203125" customWidth="1"/>
    <col min="2056" max="2056" width="11.33203125" customWidth="1"/>
    <col min="2057" max="2060" width="13" customWidth="1"/>
    <col min="2061" max="2061" width="11.44140625" customWidth="1"/>
    <col min="2062" max="2062" width="12.109375" customWidth="1"/>
    <col min="2063" max="2063" width="6.5546875" customWidth="1"/>
    <col min="2064" max="2064" width="14.33203125" customWidth="1"/>
    <col min="2065" max="2065" width="11.88671875" customWidth="1"/>
    <col min="2066" max="2066" width="10.44140625" customWidth="1"/>
    <col min="2067" max="2067" width="11.6640625" customWidth="1"/>
    <col min="2068" max="2068" width="10.33203125" customWidth="1"/>
    <col min="2069" max="2069" width="11.6640625" customWidth="1"/>
    <col min="2070" max="2070" width="10.33203125" customWidth="1"/>
    <col min="2071" max="2071" width="12.6640625" customWidth="1"/>
    <col min="2072" max="2072" width="12.33203125" customWidth="1"/>
    <col min="2073" max="2073" width="11.88671875" customWidth="1"/>
    <col min="2306" max="2306" width="20.44140625" customWidth="1"/>
    <col min="2307" max="2307" width="11.33203125" customWidth="1"/>
    <col min="2308" max="2309" width="11" customWidth="1"/>
    <col min="2310" max="2310" width="5.5546875" customWidth="1"/>
    <col min="2311" max="2311" width="19.33203125" customWidth="1"/>
    <col min="2312" max="2312" width="11.33203125" customWidth="1"/>
    <col min="2313" max="2316" width="13" customWidth="1"/>
    <col min="2317" max="2317" width="11.44140625" customWidth="1"/>
    <col min="2318" max="2318" width="12.109375" customWidth="1"/>
    <col min="2319" max="2319" width="6.5546875" customWidth="1"/>
    <col min="2320" max="2320" width="14.33203125" customWidth="1"/>
    <col min="2321" max="2321" width="11.88671875" customWidth="1"/>
    <col min="2322" max="2322" width="10.44140625" customWidth="1"/>
    <col min="2323" max="2323" width="11.6640625" customWidth="1"/>
    <col min="2324" max="2324" width="10.33203125" customWidth="1"/>
    <col min="2325" max="2325" width="11.6640625" customWidth="1"/>
    <col min="2326" max="2326" width="10.33203125" customWidth="1"/>
    <col min="2327" max="2327" width="12.6640625" customWidth="1"/>
    <col min="2328" max="2328" width="12.33203125" customWidth="1"/>
    <col min="2329" max="2329" width="11.88671875" customWidth="1"/>
    <col min="2562" max="2562" width="20.44140625" customWidth="1"/>
    <col min="2563" max="2563" width="11.33203125" customWidth="1"/>
    <col min="2564" max="2565" width="11" customWidth="1"/>
    <col min="2566" max="2566" width="5.5546875" customWidth="1"/>
    <col min="2567" max="2567" width="19.33203125" customWidth="1"/>
    <col min="2568" max="2568" width="11.33203125" customWidth="1"/>
    <col min="2569" max="2572" width="13" customWidth="1"/>
    <col min="2573" max="2573" width="11.44140625" customWidth="1"/>
    <col min="2574" max="2574" width="12.109375" customWidth="1"/>
    <col min="2575" max="2575" width="6.5546875" customWidth="1"/>
    <col min="2576" max="2576" width="14.33203125" customWidth="1"/>
    <col min="2577" max="2577" width="11.88671875" customWidth="1"/>
    <col min="2578" max="2578" width="10.44140625" customWidth="1"/>
    <col min="2579" max="2579" width="11.6640625" customWidth="1"/>
    <col min="2580" max="2580" width="10.33203125" customWidth="1"/>
    <col min="2581" max="2581" width="11.6640625" customWidth="1"/>
    <col min="2582" max="2582" width="10.33203125" customWidth="1"/>
    <col min="2583" max="2583" width="12.6640625" customWidth="1"/>
    <col min="2584" max="2584" width="12.33203125" customWidth="1"/>
    <col min="2585" max="2585" width="11.88671875" customWidth="1"/>
    <col min="2818" max="2818" width="20.44140625" customWidth="1"/>
    <col min="2819" max="2819" width="11.33203125" customWidth="1"/>
    <col min="2820" max="2821" width="11" customWidth="1"/>
    <col min="2822" max="2822" width="5.5546875" customWidth="1"/>
    <col min="2823" max="2823" width="19.33203125" customWidth="1"/>
    <col min="2824" max="2824" width="11.33203125" customWidth="1"/>
    <col min="2825" max="2828" width="13" customWidth="1"/>
    <col min="2829" max="2829" width="11.44140625" customWidth="1"/>
    <col min="2830" max="2830" width="12.109375" customWidth="1"/>
    <col min="2831" max="2831" width="6.5546875" customWidth="1"/>
    <col min="2832" max="2832" width="14.33203125" customWidth="1"/>
    <col min="2833" max="2833" width="11.88671875" customWidth="1"/>
    <col min="2834" max="2834" width="10.44140625" customWidth="1"/>
    <col min="2835" max="2835" width="11.6640625" customWidth="1"/>
    <col min="2836" max="2836" width="10.33203125" customWidth="1"/>
    <col min="2837" max="2837" width="11.6640625" customWidth="1"/>
    <col min="2838" max="2838" width="10.33203125" customWidth="1"/>
    <col min="2839" max="2839" width="12.6640625" customWidth="1"/>
    <col min="2840" max="2840" width="12.33203125" customWidth="1"/>
    <col min="2841" max="2841" width="11.88671875" customWidth="1"/>
    <col min="3074" max="3074" width="20.44140625" customWidth="1"/>
    <col min="3075" max="3075" width="11.33203125" customWidth="1"/>
    <col min="3076" max="3077" width="11" customWidth="1"/>
    <col min="3078" max="3078" width="5.5546875" customWidth="1"/>
    <col min="3079" max="3079" width="19.33203125" customWidth="1"/>
    <col min="3080" max="3080" width="11.33203125" customWidth="1"/>
    <col min="3081" max="3084" width="13" customWidth="1"/>
    <col min="3085" max="3085" width="11.44140625" customWidth="1"/>
    <col min="3086" max="3086" width="12.109375" customWidth="1"/>
    <col min="3087" max="3087" width="6.5546875" customWidth="1"/>
    <col min="3088" max="3088" width="14.33203125" customWidth="1"/>
    <col min="3089" max="3089" width="11.88671875" customWidth="1"/>
    <col min="3090" max="3090" width="10.44140625" customWidth="1"/>
    <col min="3091" max="3091" width="11.6640625" customWidth="1"/>
    <col min="3092" max="3092" width="10.33203125" customWidth="1"/>
    <col min="3093" max="3093" width="11.6640625" customWidth="1"/>
    <col min="3094" max="3094" width="10.33203125" customWidth="1"/>
    <col min="3095" max="3095" width="12.6640625" customWidth="1"/>
    <col min="3096" max="3096" width="12.33203125" customWidth="1"/>
    <col min="3097" max="3097" width="11.88671875" customWidth="1"/>
    <col min="3330" max="3330" width="20.44140625" customWidth="1"/>
    <col min="3331" max="3331" width="11.33203125" customWidth="1"/>
    <col min="3332" max="3333" width="11" customWidth="1"/>
    <col min="3334" max="3334" width="5.5546875" customWidth="1"/>
    <col min="3335" max="3335" width="19.33203125" customWidth="1"/>
    <col min="3336" max="3336" width="11.33203125" customWidth="1"/>
    <col min="3337" max="3340" width="13" customWidth="1"/>
    <col min="3341" max="3341" width="11.44140625" customWidth="1"/>
    <col min="3342" max="3342" width="12.109375" customWidth="1"/>
    <col min="3343" max="3343" width="6.5546875" customWidth="1"/>
    <col min="3344" max="3344" width="14.33203125" customWidth="1"/>
    <col min="3345" max="3345" width="11.88671875" customWidth="1"/>
    <col min="3346" max="3346" width="10.44140625" customWidth="1"/>
    <col min="3347" max="3347" width="11.6640625" customWidth="1"/>
    <col min="3348" max="3348" width="10.33203125" customWidth="1"/>
    <col min="3349" max="3349" width="11.6640625" customWidth="1"/>
    <col min="3350" max="3350" width="10.33203125" customWidth="1"/>
    <col min="3351" max="3351" width="12.6640625" customWidth="1"/>
    <col min="3352" max="3352" width="12.33203125" customWidth="1"/>
    <col min="3353" max="3353" width="11.88671875" customWidth="1"/>
    <col min="3586" max="3586" width="20.44140625" customWidth="1"/>
    <col min="3587" max="3587" width="11.33203125" customWidth="1"/>
    <col min="3588" max="3589" width="11" customWidth="1"/>
    <col min="3590" max="3590" width="5.5546875" customWidth="1"/>
    <col min="3591" max="3591" width="19.33203125" customWidth="1"/>
    <col min="3592" max="3592" width="11.33203125" customWidth="1"/>
    <col min="3593" max="3596" width="13" customWidth="1"/>
    <col min="3597" max="3597" width="11.44140625" customWidth="1"/>
    <col min="3598" max="3598" width="12.109375" customWidth="1"/>
    <col min="3599" max="3599" width="6.5546875" customWidth="1"/>
    <col min="3600" max="3600" width="14.33203125" customWidth="1"/>
    <col min="3601" max="3601" width="11.88671875" customWidth="1"/>
    <col min="3602" max="3602" width="10.44140625" customWidth="1"/>
    <col min="3603" max="3603" width="11.6640625" customWidth="1"/>
    <col min="3604" max="3604" width="10.33203125" customWidth="1"/>
    <col min="3605" max="3605" width="11.6640625" customWidth="1"/>
    <col min="3606" max="3606" width="10.33203125" customWidth="1"/>
    <col min="3607" max="3607" width="12.6640625" customWidth="1"/>
    <col min="3608" max="3608" width="12.33203125" customWidth="1"/>
    <col min="3609" max="3609" width="11.88671875" customWidth="1"/>
    <col min="3842" max="3842" width="20.44140625" customWidth="1"/>
    <col min="3843" max="3843" width="11.33203125" customWidth="1"/>
    <col min="3844" max="3845" width="11" customWidth="1"/>
    <col min="3846" max="3846" width="5.5546875" customWidth="1"/>
    <col min="3847" max="3847" width="19.33203125" customWidth="1"/>
    <col min="3848" max="3848" width="11.33203125" customWidth="1"/>
    <col min="3849" max="3852" width="13" customWidth="1"/>
    <col min="3853" max="3853" width="11.44140625" customWidth="1"/>
    <col min="3854" max="3854" width="12.109375" customWidth="1"/>
    <col min="3855" max="3855" width="6.5546875" customWidth="1"/>
    <col min="3856" max="3856" width="14.33203125" customWidth="1"/>
    <col min="3857" max="3857" width="11.88671875" customWidth="1"/>
    <col min="3858" max="3858" width="10.44140625" customWidth="1"/>
    <col min="3859" max="3859" width="11.6640625" customWidth="1"/>
    <col min="3860" max="3860" width="10.33203125" customWidth="1"/>
    <col min="3861" max="3861" width="11.6640625" customWidth="1"/>
    <col min="3862" max="3862" width="10.33203125" customWidth="1"/>
    <col min="3863" max="3863" width="12.6640625" customWidth="1"/>
    <col min="3864" max="3864" width="12.33203125" customWidth="1"/>
    <col min="3865" max="3865" width="11.88671875" customWidth="1"/>
    <col min="4098" max="4098" width="20.44140625" customWidth="1"/>
    <col min="4099" max="4099" width="11.33203125" customWidth="1"/>
    <col min="4100" max="4101" width="11" customWidth="1"/>
    <col min="4102" max="4102" width="5.5546875" customWidth="1"/>
    <col min="4103" max="4103" width="19.33203125" customWidth="1"/>
    <col min="4104" max="4104" width="11.33203125" customWidth="1"/>
    <col min="4105" max="4108" width="13" customWidth="1"/>
    <col min="4109" max="4109" width="11.44140625" customWidth="1"/>
    <col min="4110" max="4110" width="12.109375" customWidth="1"/>
    <col min="4111" max="4111" width="6.5546875" customWidth="1"/>
    <col min="4112" max="4112" width="14.33203125" customWidth="1"/>
    <col min="4113" max="4113" width="11.88671875" customWidth="1"/>
    <col min="4114" max="4114" width="10.44140625" customWidth="1"/>
    <col min="4115" max="4115" width="11.6640625" customWidth="1"/>
    <col min="4116" max="4116" width="10.33203125" customWidth="1"/>
    <col min="4117" max="4117" width="11.6640625" customWidth="1"/>
    <col min="4118" max="4118" width="10.33203125" customWidth="1"/>
    <col min="4119" max="4119" width="12.6640625" customWidth="1"/>
    <col min="4120" max="4120" width="12.33203125" customWidth="1"/>
    <col min="4121" max="4121" width="11.88671875" customWidth="1"/>
    <col min="4354" max="4354" width="20.44140625" customWidth="1"/>
    <col min="4355" max="4355" width="11.33203125" customWidth="1"/>
    <col min="4356" max="4357" width="11" customWidth="1"/>
    <col min="4358" max="4358" width="5.5546875" customWidth="1"/>
    <col min="4359" max="4359" width="19.33203125" customWidth="1"/>
    <col min="4360" max="4360" width="11.33203125" customWidth="1"/>
    <col min="4361" max="4364" width="13" customWidth="1"/>
    <col min="4365" max="4365" width="11.44140625" customWidth="1"/>
    <col min="4366" max="4366" width="12.109375" customWidth="1"/>
    <col min="4367" max="4367" width="6.5546875" customWidth="1"/>
    <col min="4368" max="4368" width="14.33203125" customWidth="1"/>
    <col min="4369" max="4369" width="11.88671875" customWidth="1"/>
    <col min="4370" max="4370" width="10.44140625" customWidth="1"/>
    <col min="4371" max="4371" width="11.6640625" customWidth="1"/>
    <col min="4372" max="4372" width="10.33203125" customWidth="1"/>
    <col min="4373" max="4373" width="11.6640625" customWidth="1"/>
    <col min="4374" max="4374" width="10.33203125" customWidth="1"/>
    <col min="4375" max="4375" width="12.6640625" customWidth="1"/>
    <col min="4376" max="4376" width="12.33203125" customWidth="1"/>
    <col min="4377" max="4377" width="11.88671875" customWidth="1"/>
    <col min="4610" max="4610" width="20.44140625" customWidth="1"/>
    <col min="4611" max="4611" width="11.33203125" customWidth="1"/>
    <col min="4612" max="4613" width="11" customWidth="1"/>
    <col min="4614" max="4614" width="5.5546875" customWidth="1"/>
    <col min="4615" max="4615" width="19.33203125" customWidth="1"/>
    <col min="4616" max="4616" width="11.33203125" customWidth="1"/>
    <col min="4617" max="4620" width="13" customWidth="1"/>
    <col min="4621" max="4621" width="11.44140625" customWidth="1"/>
    <col min="4622" max="4622" width="12.109375" customWidth="1"/>
    <col min="4623" max="4623" width="6.5546875" customWidth="1"/>
    <col min="4624" max="4624" width="14.33203125" customWidth="1"/>
    <col min="4625" max="4625" width="11.88671875" customWidth="1"/>
    <col min="4626" max="4626" width="10.44140625" customWidth="1"/>
    <col min="4627" max="4627" width="11.6640625" customWidth="1"/>
    <col min="4628" max="4628" width="10.33203125" customWidth="1"/>
    <col min="4629" max="4629" width="11.6640625" customWidth="1"/>
    <col min="4630" max="4630" width="10.33203125" customWidth="1"/>
    <col min="4631" max="4631" width="12.6640625" customWidth="1"/>
    <col min="4632" max="4632" width="12.33203125" customWidth="1"/>
    <col min="4633" max="4633" width="11.88671875" customWidth="1"/>
    <col min="4866" max="4866" width="20.44140625" customWidth="1"/>
    <col min="4867" max="4867" width="11.33203125" customWidth="1"/>
    <col min="4868" max="4869" width="11" customWidth="1"/>
    <col min="4870" max="4870" width="5.5546875" customWidth="1"/>
    <col min="4871" max="4871" width="19.33203125" customWidth="1"/>
    <col min="4872" max="4872" width="11.33203125" customWidth="1"/>
    <col min="4873" max="4876" width="13" customWidth="1"/>
    <col min="4877" max="4877" width="11.44140625" customWidth="1"/>
    <col min="4878" max="4878" width="12.109375" customWidth="1"/>
    <col min="4879" max="4879" width="6.5546875" customWidth="1"/>
    <col min="4880" max="4880" width="14.33203125" customWidth="1"/>
    <col min="4881" max="4881" width="11.88671875" customWidth="1"/>
    <col min="4882" max="4882" width="10.44140625" customWidth="1"/>
    <col min="4883" max="4883" width="11.6640625" customWidth="1"/>
    <col min="4884" max="4884" width="10.33203125" customWidth="1"/>
    <col min="4885" max="4885" width="11.6640625" customWidth="1"/>
    <col min="4886" max="4886" width="10.33203125" customWidth="1"/>
    <col min="4887" max="4887" width="12.6640625" customWidth="1"/>
    <col min="4888" max="4888" width="12.33203125" customWidth="1"/>
    <col min="4889" max="4889" width="11.88671875" customWidth="1"/>
    <col min="5122" max="5122" width="20.44140625" customWidth="1"/>
    <col min="5123" max="5123" width="11.33203125" customWidth="1"/>
    <col min="5124" max="5125" width="11" customWidth="1"/>
    <col min="5126" max="5126" width="5.5546875" customWidth="1"/>
    <col min="5127" max="5127" width="19.33203125" customWidth="1"/>
    <col min="5128" max="5128" width="11.33203125" customWidth="1"/>
    <col min="5129" max="5132" width="13" customWidth="1"/>
    <col min="5133" max="5133" width="11.44140625" customWidth="1"/>
    <col min="5134" max="5134" width="12.109375" customWidth="1"/>
    <col min="5135" max="5135" width="6.5546875" customWidth="1"/>
    <col min="5136" max="5136" width="14.33203125" customWidth="1"/>
    <col min="5137" max="5137" width="11.88671875" customWidth="1"/>
    <col min="5138" max="5138" width="10.44140625" customWidth="1"/>
    <col min="5139" max="5139" width="11.6640625" customWidth="1"/>
    <col min="5140" max="5140" width="10.33203125" customWidth="1"/>
    <col min="5141" max="5141" width="11.6640625" customWidth="1"/>
    <col min="5142" max="5142" width="10.33203125" customWidth="1"/>
    <col min="5143" max="5143" width="12.6640625" customWidth="1"/>
    <col min="5144" max="5144" width="12.33203125" customWidth="1"/>
    <col min="5145" max="5145" width="11.88671875" customWidth="1"/>
    <col min="5378" max="5378" width="20.44140625" customWidth="1"/>
    <col min="5379" max="5379" width="11.33203125" customWidth="1"/>
    <col min="5380" max="5381" width="11" customWidth="1"/>
    <col min="5382" max="5382" width="5.5546875" customWidth="1"/>
    <col min="5383" max="5383" width="19.33203125" customWidth="1"/>
    <col min="5384" max="5384" width="11.33203125" customWidth="1"/>
    <col min="5385" max="5388" width="13" customWidth="1"/>
    <col min="5389" max="5389" width="11.44140625" customWidth="1"/>
    <col min="5390" max="5390" width="12.109375" customWidth="1"/>
    <col min="5391" max="5391" width="6.5546875" customWidth="1"/>
    <col min="5392" max="5392" width="14.33203125" customWidth="1"/>
    <col min="5393" max="5393" width="11.88671875" customWidth="1"/>
    <col min="5394" max="5394" width="10.44140625" customWidth="1"/>
    <col min="5395" max="5395" width="11.6640625" customWidth="1"/>
    <col min="5396" max="5396" width="10.33203125" customWidth="1"/>
    <col min="5397" max="5397" width="11.6640625" customWidth="1"/>
    <col min="5398" max="5398" width="10.33203125" customWidth="1"/>
    <col min="5399" max="5399" width="12.6640625" customWidth="1"/>
    <col min="5400" max="5400" width="12.33203125" customWidth="1"/>
    <col min="5401" max="5401" width="11.88671875" customWidth="1"/>
    <col min="5634" max="5634" width="20.44140625" customWidth="1"/>
    <col min="5635" max="5635" width="11.33203125" customWidth="1"/>
    <col min="5636" max="5637" width="11" customWidth="1"/>
    <col min="5638" max="5638" width="5.5546875" customWidth="1"/>
    <col min="5639" max="5639" width="19.33203125" customWidth="1"/>
    <col min="5640" max="5640" width="11.33203125" customWidth="1"/>
    <col min="5641" max="5644" width="13" customWidth="1"/>
    <col min="5645" max="5645" width="11.44140625" customWidth="1"/>
    <col min="5646" max="5646" width="12.109375" customWidth="1"/>
    <col min="5647" max="5647" width="6.5546875" customWidth="1"/>
    <col min="5648" max="5648" width="14.33203125" customWidth="1"/>
    <col min="5649" max="5649" width="11.88671875" customWidth="1"/>
    <col min="5650" max="5650" width="10.44140625" customWidth="1"/>
    <col min="5651" max="5651" width="11.6640625" customWidth="1"/>
    <col min="5652" max="5652" width="10.33203125" customWidth="1"/>
    <col min="5653" max="5653" width="11.6640625" customWidth="1"/>
    <col min="5654" max="5654" width="10.33203125" customWidth="1"/>
    <col min="5655" max="5655" width="12.6640625" customWidth="1"/>
    <col min="5656" max="5656" width="12.33203125" customWidth="1"/>
    <col min="5657" max="5657" width="11.88671875" customWidth="1"/>
    <col min="5890" max="5890" width="20.44140625" customWidth="1"/>
    <col min="5891" max="5891" width="11.33203125" customWidth="1"/>
    <col min="5892" max="5893" width="11" customWidth="1"/>
    <col min="5894" max="5894" width="5.5546875" customWidth="1"/>
    <col min="5895" max="5895" width="19.33203125" customWidth="1"/>
    <col min="5896" max="5896" width="11.33203125" customWidth="1"/>
    <col min="5897" max="5900" width="13" customWidth="1"/>
    <col min="5901" max="5901" width="11.44140625" customWidth="1"/>
    <col min="5902" max="5902" width="12.109375" customWidth="1"/>
    <col min="5903" max="5903" width="6.5546875" customWidth="1"/>
    <col min="5904" max="5904" width="14.33203125" customWidth="1"/>
    <col min="5905" max="5905" width="11.88671875" customWidth="1"/>
    <col min="5906" max="5906" width="10.44140625" customWidth="1"/>
    <col min="5907" max="5907" width="11.6640625" customWidth="1"/>
    <col min="5908" max="5908" width="10.33203125" customWidth="1"/>
    <col min="5909" max="5909" width="11.6640625" customWidth="1"/>
    <col min="5910" max="5910" width="10.33203125" customWidth="1"/>
    <col min="5911" max="5911" width="12.6640625" customWidth="1"/>
    <col min="5912" max="5912" width="12.33203125" customWidth="1"/>
    <col min="5913" max="5913" width="11.88671875" customWidth="1"/>
    <col min="6146" max="6146" width="20.44140625" customWidth="1"/>
    <col min="6147" max="6147" width="11.33203125" customWidth="1"/>
    <col min="6148" max="6149" width="11" customWidth="1"/>
    <col min="6150" max="6150" width="5.5546875" customWidth="1"/>
    <col min="6151" max="6151" width="19.33203125" customWidth="1"/>
    <col min="6152" max="6152" width="11.33203125" customWidth="1"/>
    <col min="6153" max="6156" width="13" customWidth="1"/>
    <col min="6157" max="6157" width="11.44140625" customWidth="1"/>
    <col min="6158" max="6158" width="12.109375" customWidth="1"/>
    <col min="6159" max="6159" width="6.5546875" customWidth="1"/>
    <col min="6160" max="6160" width="14.33203125" customWidth="1"/>
    <col min="6161" max="6161" width="11.88671875" customWidth="1"/>
    <col min="6162" max="6162" width="10.44140625" customWidth="1"/>
    <col min="6163" max="6163" width="11.6640625" customWidth="1"/>
    <col min="6164" max="6164" width="10.33203125" customWidth="1"/>
    <col min="6165" max="6165" width="11.6640625" customWidth="1"/>
    <col min="6166" max="6166" width="10.33203125" customWidth="1"/>
    <col min="6167" max="6167" width="12.6640625" customWidth="1"/>
    <col min="6168" max="6168" width="12.33203125" customWidth="1"/>
    <col min="6169" max="6169" width="11.88671875" customWidth="1"/>
    <col min="6402" max="6402" width="20.44140625" customWidth="1"/>
    <col min="6403" max="6403" width="11.33203125" customWidth="1"/>
    <col min="6404" max="6405" width="11" customWidth="1"/>
    <col min="6406" max="6406" width="5.5546875" customWidth="1"/>
    <col min="6407" max="6407" width="19.33203125" customWidth="1"/>
    <col min="6408" max="6408" width="11.33203125" customWidth="1"/>
    <col min="6409" max="6412" width="13" customWidth="1"/>
    <col min="6413" max="6413" width="11.44140625" customWidth="1"/>
    <col min="6414" max="6414" width="12.109375" customWidth="1"/>
    <col min="6415" max="6415" width="6.5546875" customWidth="1"/>
    <col min="6416" max="6416" width="14.33203125" customWidth="1"/>
    <col min="6417" max="6417" width="11.88671875" customWidth="1"/>
    <col min="6418" max="6418" width="10.44140625" customWidth="1"/>
    <col min="6419" max="6419" width="11.6640625" customWidth="1"/>
    <col min="6420" max="6420" width="10.33203125" customWidth="1"/>
    <col min="6421" max="6421" width="11.6640625" customWidth="1"/>
    <col min="6422" max="6422" width="10.33203125" customWidth="1"/>
    <col min="6423" max="6423" width="12.6640625" customWidth="1"/>
    <col min="6424" max="6424" width="12.33203125" customWidth="1"/>
    <col min="6425" max="6425" width="11.88671875" customWidth="1"/>
    <col min="6658" max="6658" width="20.44140625" customWidth="1"/>
    <col min="6659" max="6659" width="11.33203125" customWidth="1"/>
    <col min="6660" max="6661" width="11" customWidth="1"/>
    <col min="6662" max="6662" width="5.5546875" customWidth="1"/>
    <col min="6663" max="6663" width="19.33203125" customWidth="1"/>
    <col min="6664" max="6664" width="11.33203125" customWidth="1"/>
    <col min="6665" max="6668" width="13" customWidth="1"/>
    <col min="6669" max="6669" width="11.44140625" customWidth="1"/>
    <col min="6670" max="6670" width="12.109375" customWidth="1"/>
    <col min="6671" max="6671" width="6.5546875" customWidth="1"/>
    <col min="6672" max="6672" width="14.33203125" customWidth="1"/>
    <col min="6673" max="6673" width="11.88671875" customWidth="1"/>
    <col min="6674" max="6674" width="10.44140625" customWidth="1"/>
    <col min="6675" max="6675" width="11.6640625" customWidth="1"/>
    <col min="6676" max="6676" width="10.33203125" customWidth="1"/>
    <col min="6677" max="6677" width="11.6640625" customWidth="1"/>
    <col min="6678" max="6678" width="10.33203125" customWidth="1"/>
    <col min="6679" max="6679" width="12.6640625" customWidth="1"/>
    <col min="6680" max="6680" width="12.33203125" customWidth="1"/>
    <col min="6681" max="6681" width="11.88671875" customWidth="1"/>
    <col min="6914" max="6914" width="20.44140625" customWidth="1"/>
    <col min="6915" max="6915" width="11.33203125" customWidth="1"/>
    <col min="6916" max="6917" width="11" customWidth="1"/>
    <col min="6918" max="6918" width="5.5546875" customWidth="1"/>
    <col min="6919" max="6919" width="19.33203125" customWidth="1"/>
    <col min="6920" max="6920" width="11.33203125" customWidth="1"/>
    <col min="6921" max="6924" width="13" customWidth="1"/>
    <col min="6925" max="6925" width="11.44140625" customWidth="1"/>
    <col min="6926" max="6926" width="12.109375" customWidth="1"/>
    <col min="6927" max="6927" width="6.5546875" customWidth="1"/>
    <col min="6928" max="6928" width="14.33203125" customWidth="1"/>
    <col min="6929" max="6929" width="11.88671875" customWidth="1"/>
    <col min="6930" max="6930" width="10.44140625" customWidth="1"/>
    <col min="6931" max="6931" width="11.6640625" customWidth="1"/>
    <col min="6932" max="6932" width="10.33203125" customWidth="1"/>
    <col min="6933" max="6933" width="11.6640625" customWidth="1"/>
    <col min="6934" max="6934" width="10.33203125" customWidth="1"/>
    <col min="6935" max="6935" width="12.6640625" customWidth="1"/>
    <col min="6936" max="6936" width="12.33203125" customWidth="1"/>
    <col min="6937" max="6937" width="11.88671875" customWidth="1"/>
    <col min="7170" max="7170" width="20.44140625" customWidth="1"/>
    <col min="7171" max="7171" width="11.33203125" customWidth="1"/>
    <col min="7172" max="7173" width="11" customWidth="1"/>
    <col min="7174" max="7174" width="5.5546875" customWidth="1"/>
    <col min="7175" max="7175" width="19.33203125" customWidth="1"/>
    <col min="7176" max="7176" width="11.33203125" customWidth="1"/>
    <col min="7177" max="7180" width="13" customWidth="1"/>
    <col min="7181" max="7181" width="11.44140625" customWidth="1"/>
    <col min="7182" max="7182" width="12.109375" customWidth="1"/>
    <col min="7183" max="7183" width="6.5546875" customWidth="1"/>
    <col min="7184" max="7184" width="14.33203125" customWidth="1"/>
    <col min="7185" max="7185" width="11.88671875" customWidth="1"/>
    <col min="7186" max="7186" width="10.44140625" customWidth="1"/>
    <col min="7187" max="7187" width="11.6640625" customWidth="1"/>
    <col min="7188" max="7188" width="10.33203125" customWidth="1"/>
    <col min="7189" max="7189" width="11.6640625" customWidth="1"/>
    <col min="7190" max="7190" width="10.33203125" customWidth="1"/>
    <col min="7191" max="7191" width="12.6640625" customWidth="1"/>
    <col min="7192" max="7192" width="12.33203125" customWidth="1"/>
    <col min="7193" max="7193" width="11.88671875" customWidth="1"/>
    <col min="7426" max="7426" width="20.44140625" customWidth="1"/>
    <col min="7427" max="7427" width="11.33203125" customWidth="1"/>
    <col min="7428" max="7429" width="11" customWidth="1"/>
    <col min="7430" max="7430" width="5.5546875" customWidth="1"/>
    <col min="7431" max="7431" width="19.33203125" customWidth="1"/>
    <col min="7432" max="7432" width="11.33203125" customWidth="1"/>
    <col min="7433" max="7436" width="13" customWidth="1"/>
    <col min="7437" max="7437" width="11.44140625" customWidth="1"/>
    <col min="7438" max="7438" width="12.109375" customWidth="1"/>
    <col min="7439" max="7439" width="6.5546875" customWidth="1"/>
    <col min="7440" max="7440" width="14.33203125" customWidth="1"/>
    <col min="7441" max="7441" width="11.88671875" customWidth="1"/>
    <col min="7442" max="7442" width="10.44140625" customWidth="1"/>
    <col min="7443" max="7443" width="11.6640625" customWidth="1"/>
    <col min="7444" max="7444" width="10.33203125" customWidth="1"/>
    <col min="7445" max="7445" width="11.6640625" customWidth="1"/>
    <col min="7446" max="7446" width="10.33203125" customWidth="1"/>
    <col min="7447" max="7447" width="12.6640625" customWidth="1"/>
    <col min="7448" max="7448" width="12.33203125" customWidth="1"/>
    <col min="7449" max="7449" width="11.88671875" customWidth="1"/>
    <col min="7682" max="7682" width="20.44140625" customWidth="1"/>
    <col min="7683" max="7683" width="11.33203125" customWidth="1"/>
    <col min="7684" max="7685" width="11" customWidth="1"/>
    <col min="7686" max="7686" width="5.5546875" customWidth="1"/>
    <col min="7687" max="7687" width="19.33203125" customWidth="1"/>
    <col min="7688" max="7688" width="11.33203125" customWidth="1"/>
    <col min="7689" max="7692" width="13" customWidth="1"/>
    <col min="7693" max="7693" width="11.44140625" customWidth="1"/>
    <col min="7694" max="7694" width="12.109375" customWidth="1"/>
    <col min="7695" max="7695" width="6.5546875" customWidth="1"/>
    <col min="7696" max="7696" width="14.33203125" customWidth="1"/>
    <col min="7697" max="7697" width="11.88671875" customWidth="1"/>
    <col min="7698" max="7698" width="10.44140625" customWidth="1"/>
    <col min="7699" max="7699" width="11.6640625" customWidth="1"/>
    <col min="7700" max="7700" width="10.33203125" customWidth="1"/>
    <col min="7701" max="7701" width="11.6640625" customWidth="1"/>
    <col min="7702" max="7702" width="10.33203125" customWidth="1"/>
    <col min="7703" max="7703" width="12.6640625" customWidth="1"/>
    <col min="7704" max="7704" width="12.33203125" customWidth="1"/>
    <col min="7705" max="7705" width="11.88671875" customWidth="1"/>
    <col min="7938" max="7938" width="20.44140625" customWidth="1"/>
    <col min="7939" max="7939" width="11.33203125" customWidth="1"/>
    <col min="7940" max="7941" width="11" customWidth="1"/>
    <col min="7942" max="7942" width="5.5546875" customWidth="1"/>
    <col min="7943" max="7943" width="19.33203125" customWidth="1"/>
    <col min="7944" max="7944" width="11.33203125" customWidth="1"/>
    <col min="7945" max="7948" width="13" customWidth="1"/>
    <col min="7949" max="7949" width="11.44140625" customWidth="1"/>
    <col min="7950" max="7950" width="12.109375" customWidth="1"/>
    <col min="7951" max="7951" width="6.5546875" customWidth="1"/>
    <col min="7952" max="7952" width="14.33203125" customWidth="1"/>
    <col min="7953" max="7953" width="11.88671875" customWidth="1"/>
    <col min="7954" max="7954" width="10.44140625" customWidth="1"/>
    <col min="7955" max="7955" width="11.6640625" customWidth="1"/>
    <col min="7956" max="7956" width="10.33203125" customWidth="1"/>
    <col min="7957" max="7957" width="11.6640625" customWidth="1"/>
    <col min="7958" max="7958" width="10.33203125" customWidth="1"/>
    <col min="7959" max="7959" width="12.6640625" customWidth="1"/>
    <col min="7960" max="7960" width="12.33203125" customWidth="1"/>
    <col min="7961" max="7961" width="11.88671875" customWidth="1"/>
    <col min="8194" max="8194" width="20.44140625" customWidth="1"/>
    <col min="8195" max="8195" width="11.33203125" customWidth="1"/>
    <col min="8196" max="8197" width="11" customWidth="1"/>
    <col min="8198" max="8198" width="5.5546875" customWidth="1"/>
    <col min="8199" max="8199" width="19.33203125" customWidth="1"/>
    <col min="8200" max="8200" width="11.33203125" customWidth="1"/>
    <col min="8201" max="8204" width="13" customWidth="1"/>
    <col min="8205" max="8205" width="11.44140625" customWidth="1"/>
    <col min="8206" max="8206" width="12.109375" customWidth="1"/>
    <col min="8207" max="8207" width="6.5546875" customWidth="1"/>
    <col min="8208" max="8208" width="14.33203125" customWidth="1"/>
    <col min="8209" max="8209" width="11.88671875" customWidth="1"/>
    <col min="8210" max="8210" width="10.44140625" customWidth="1"/>
    <col min="8211" max="8211" width="11.6640625" customWidth="1"/>
    <col min="8212" max="8212" width="10.33203125" customWidth="1"/>
    <col min="8213" max="8213" width="11.6640625" customWidth="1"/>
    <col min="8214" max="8214" width="10.33203125" customWidth="1"/>
    <col min="8215" max="8215" width="12.6640625" customWidth="1"/>
    <col min="8216" max="8216" width="12.33203125" customWidth="1"/>
    <col min="8217" max="8217" width="11.88671875" customWidth="1"/>
    <col min="8450" max="8450" width="20.44140625" customWidth="1"/>
    <col min="8451" max="8451" width="11.33203125" customWidth="1"/>
    <col min="8452" max="8453" width="11" customWidth="1"/>
    <col min="8454" max="8454" width="5.5546875" customWidth="1"/>
    <col min="8455" max="8455" width="19.33203125" customWidth="1"/>
    <col min="8456" max="8456" width="11.33203125" customWidth="1"/>
    <col min="8457" max="8460" width="13" customWidth="1"/>
    <col min="8461" max="8461" width="11.44140625" customWidth="1"/>
    <col min="8462" max="8462" width="12.109375" customWidth="1"/>
    <col min="8463" max="8463" width="6.5546875" customWidth="1"/>
    <col min="8464" max="8464" width="14.33203125" customWidth="1"/>
    <col min="8465" max="8465" width="11.88671875" customWidth="1"/>
    <col min="8466" max="8466" width="10.44140625" customWidth="1"/>
    <col min="8467" max="8467" width="11.6640625" customWidth="1"/>
    <col min="8468" max="8468" width="10.33203125" customWidth="1"/>
    <col min="8469" max="8469" width="11.6640625" customWidth="1"/>
    <col min="8470" max="8470" width="10.33203125" customWidth="1"/>
    <col min="8471" max="8471" width="12.6640625" customWidth="1"/>
    <col min="8472" max="8472" width="12.33203125" customWidth="1"/>
    <col min="8473" max="8473" width="11.88671875" customWidth="1"/>
    <col min="8706" max="8706" width="20.44140625" customWidth="1"/>
    <col min="8707" max="8707" width="11.33203125" customWidth="1"/>
    <col min="8708" max="8709" width="11" customWidth="1"/>
    <col min="8710" max="8710" width="5.5546875" customWidth="1"/>
    <col min="8711" max="8711" width="19.33203125" customWidth="1"/>
    <col min="8712" max="8712" width="11.33203125" customWidth="1"/>
    <col min="8713" max="8716" width="13" customWidth="1"/>
    <col min="8717" max="8717" width="11.44140625" customWidth="1"/>
    <col min="8718" max="8718" width="12.109375" customWidth="1"/>
    <col min="8719" max="8719" width="6.5546875" customWidth="1"/>
    <col min="8720" max="8720" width="14.33203125" customWidth="1"/>
    <col min="8721" max="8721" width="11.88671875" customWidth="1"/>
    <col min="8722" max="8722" width="10.44140625" customWidth="1"/>
    <col min="8723" max="8723" width="11.6640625" customWidth="1"/>
    <col min="8724" max="8724" width="10.33203125" customWidth="1"/>
    <col min="8725" max="8725" width="11.6640625" customWidth="1"/>
    <col min="8726" max="8726" width="10.33203125" customWidth="1"/>
    <col min="8727" max="8727" width="12.6640625" customWidth="1"/>
    <col min="8728" max="8728" width="12.33203125" customWidth="1"/>
    <col min="8729" max="8729" width="11.88671875" customWidth="1"/>
    <col min="8962" max="8962" width="20.44140625" customWidth="1"/>
    <col min="8963" max="8963" width="11.33203125" customWidth="1"/>
    <col min="8964" max="8965" width="11" customWidth="1"/>
    <col min="8966" max="8966" width="5.5546875" customWidth="1"/>
    <col min="8967" max="8967" width="19.33203125" customWidth="1"/>
    <col min="8968" max="8968" width="11.33203125" customWidth="1"/>
    <col min="8969" max="8972" width="13" customWidth="1"/>
    <col min="8973" max="8973" width="11.44140625" customWidth="1"/>
    <col min="8974" max="8974" width="12.109375" customWidth="1"/>
    <col min="8975" max="8975" width="6.5546875" customWidth="1"/>
    <col min="8976" max="8976" width="14.33203125" customWidth="1"/>
    <col min="8977" max="8977" width="11.88671875" customWidth="1"/>
    <col min="8978" max="8978" width="10.44140625" customWidth="1"/>
    <col min="8979" max="8979" width="11.6640625" customWidth="1"/>
    <col min="8980" max="8980" width="10.33203125" customWidth="1"/>
    <col min="8981" max="8981" width="11.6640625" customWidth="1"/>
    <col min="8982" max="8982" width="10.33203125" customWidth="1"/>
    <col min="8983" max="8983" width="12.6640625" customWidth="1"/>
    <col min="8984" max="8984" width="12.33203125" customWidth="1"/>
    <col min="8985" max="8985" width="11.88671875" customWidth="1"/>
    <col min="9218" max="9218" width="20.44140625" customWidth="1"/>
    <col min="9219" max="9219" width="11.33203125" customWidth="1"/>
    <col min="9220" max="9221" width="11" customWidth="1"/>
    <col min="9222" max="9222" width="5.5546875" customWidth="1"/>
    <col min="9223" max="9223" width="19.33203125" customWidth="1"/>
    <col min="9224" max="9224" width="11.33203125" customWidth="1"/>
    <col min="9225" max="9228" width="13" customWidth="1"/>
    <col min="9229" max="9229" width="11.44140625" customWidth="1"/>
    <col min="9230" max="9230" width="12.109375" customWidth="1"/>
    <col min="9231" max="9231" width="6.5546875" customWidth="1"/>
    <col min="9232" max="9232" width="14.33203125" customWidth="1"/>
    <col min="9233" max="9233" width="11.88671875" customWidth="1"/>
    <col min="9234" max="9234" width="10.44140625" customWidth="1"/>
    <col min="9235" max="9235" width="11.6640625" customWidth="1"/>
    <col min="9236" max="9236" width="10.33203125" customWidth="1"/>
    <col min="9237" max="9237" width="11.6640625" customWidth="1"/>
    <col min="9238" max="9238" width="10.33203125" customWidth="1"/>
    <col min="9239" max="9239" width="12.6640625" customWidth="1"/>
    <col min="9240" max="9240" width="12.33203125" customWidth="1"/>
    <col min="9241" max="9241" width="11.88671875" customWidth="1"/>
    <col min="9474" max="9474" width="20.44140625" customWidth="1"/>
    <col min="9475" max="9475" width="11.33203125" customWidth="1"/>
    <col min="9476" max="9477" width="11" customWidth="1"/>
    <col min="9478" max="9478" width="5.5546875" customWidth="1"/>
    <col min="9479" max="9479" width="19.33203125" customWidth="1"/>
    <col min="9480" max="9480" width="11.33203125" customWidth="1"/>
    <col min="9481" max="9484" width="13" customWidth="1"/>
    <col min="9485" max="9485" width="11.44140625" customWidth="1"/>
    <col min="9486" max="9486" width="12.109375" customWidth="1"/>
    <col min="9487" max="9487" width="6.5546875" customWidth="1"/>
    <col min="9488" max="9488" width="14.33203125" customWidth="1"/>
    <col min="9489" max="9489" width="11.88671875" customWidth="1"/>
    <col min="9490" max="9490" width="10.44140625" customWidth="1"/>
    <col min="9491" max="9491" width="11.6640625" customWidth="1"/>
    <col min="9492" max="9492" width="10.33203125" customWidth="1"/>
    <col min="9493" max="9493" width="11.6640625" customWidth="1"/>
    <col min="9494" max="9494" width="10.33203125" customWidth="1"/>
    <col min="9495" max="9495" width="12.6640625" customWidth="1"/>
    <col min="9496" max="9496" width="12.33203125" customWidth="1"/>
    <col min="9497" max="9497" width="11.88671875" customWidth="1"/>
    <col min="9730" max="9730" width="20.44140625" customWidth="1"/>
    <col min="9731" max="9731" width="11.33203125" customWidth="1"/>
    <col min="9732" max="9733" width="11" customWidth="1"/>
    <col min="9734" max="9734" width="5.5546875" customWidth="1"/>
    <col min="9735" max="9735" width="19.33203125" customWidth="1"/>
    <col min="9736" max="9736" width="11.33203125" customWidth="1"/>
    <col min="9737" max="9740" width="13" customWidth="1"/>
    <col min="9741" max="9741" width="11.44140625" customWidth="1"/>
    <col min="9742" max="9742" width="12.109375" customWidth="1"/>
    <col min="9743" max="9743" width="6.5546875" customWidth="1"/>
    <col min="9744" max="9744" width="14.33203125" customWidth="1"/>
    <col min="9745" max="9745" width="11.88671875" customWidth="1"/>
    <col min="9746" max="9746" width="10.44140625" customWidth="1"/>
    <col min="9747" max="9747" width="11.6640625" customWidth="1"/>
    <col min="9748" max="9748" width="10.33203125" customWidth="1"/>
    <col min="9749" max="9749" width="11.6640625" customWidth="1"/>
    <col min="9750" max="9750" width="10.33203125" customWidth="1"/>
    <col min="9751" max="9751" width="12.6640625" customWidth="1"/>
    <col min="9752" max="9752" width="12.33203125" customWidth="1"/>
    <col min="9753" max="9753" width="11.88671875" customWidth="1"/>
    <col min="9986" max="9986" width="20.44140625" customWidth="1"/>
    <col min="9987" max="9987" width="11.33203125" customWidth="1"/>
    <col min="9988" max="9989" width="11" customWidth="1"/>
    <col min="9990" max="9990" width="5.5546875" customWidth="1"/>
    <col min="9991" max="9991" width="19.33203125" customWidth="1"/>
    <col min="9992" max="9992" width="11.33203125" customWidth="1"/>
    <col min="9993" max="9996" width="13" customWidth="1"/>
    <col min="9997" max="9997" width="11.44140625" customWidth="1"/>
    <col min="9998" max="9998" width="12.109375" customWidth="1"/>
    <col min="9999" max="9999" width="6.5546875" customWidth="1"/>
    <col min="10000" max="10000" width="14.33203125" customWidth="1"/>
    <col min="10001" max="10001" width="11.88671875" customWidth="1"/>
    <col min="10002" max="10002" width="10.44140625" customWidth="1"/>
    <col min="10003" max="10003" width="11.6640625" customWidth="1"/>
    <col min="10004" max="10004" width="10.33203125" customWidth="1"/>
    <col min="10005" max="10005" width="11.6640625" customWidth="1"/>
    <col min="10006" max="10006" width="10.33203125" customWidth="1"/>
    <col min="10007" max="10007" width="12.6640625" customWidth="1"/>
    <col min="10008" max="10008" width="12.33203125" customWidth="1"/>
    <col min="10009" max="10009" width="11.88671875" customWidth="1"/>
    <col min="10242" max="10242" width="20.44140625" customWidth="1"/>
    <col min="10243" max="10243" width="11.33203125" customWidth="1"/>
    <col min="10244" max="10245" width="11" customWidth="1"/>
    <col min="10246" max="10246" width="5.5546875" customWidth="1"/>
    <col min="10247" max="10247" width="19.33203125" customWidth="1"/>
    <col min="10248" max="10248" width="11.33203125" customWidth="1"/>
    <col min="10249" max="10252" width="13" customWidth="1"/>
    <col min="10253" max="10253" width="11.44140625" customWidth="1"/>
    <col min="10254" max="10254" width="12.109375" customWidth="1"/>
    <col min="10255" max="10255" width="6.5546875" customWidth="1"/>
    <col min="10256" max="10256" width="14.33203125" customWidth="1"/>
    <col min="10257" max="10257" width="11.88671875" customWidth="1"/>
    <col min="10258" max="10258" width="10.44140625" customWidth="1"/>
    <col min="10259" max="10259" width="11.6640625" customWidth="1"/>
    <col min="10260" max="10260" width="10.33203125" customWidth="1"/>
    <col min="10261" max="10261" width="11.6640625" customWidth="1"/>
    <col min="10262" max="10262" width="10.33203125" customWidth="1"/>
    <col min="10263" max="10263" width="12.6640625" customWidth="1"/>
    <col min="10264" max="10264" width="12.33203125" customWidth="1"/>
    <col min="10265" max="10265" width="11.88671875" customWidth="1"/>
    <col min="10498" max="10498" width="20.44140625" customWidth="1"/>
    <col min="10499" max="10499" width="11.33203125" customWidth="1"/>
    <col min="10500" max="10501" width="11" customWidth="1"/>
    <col min="10502" max="10502" width="5.5546875" customWidth="1"/>
    <col min="10503" max="10503" width="19.33203125" customWidth="1"/>
    <col min="10504" max="10504" width="11.33203125" customWidth="1"/>
    <col min="10505" max="10508" width="13" customWidth="1"/>
    <col min="10509" max="10509" width="11.44140625" customWidth="1"/>
    <col min="10510" max="10510" width="12.109375" customWidth="1"/>
    <col min="10511" max="10511" width="6.5546875" customWidth="1"/>
    <col min="10512" max="10512" width="14.33203125" customWidth="1"/>
    <col min="10513" max="10513" width="11.88671875" customWidth="1"/>
    <col min="10514" max="10514" width="10.44140625" customWidth="1"/>
    <col min="10515" max="10515" width="11.6640625" customWidth="1"/>
    <col min="10516" max="10516" width="10.33203125" customWidth="1"/>
    <col min="10517" max="10517" width="11.6640625" customWidth="1"/>
    <col min="10518" max="10518" width="10.33203125" customWidth="1"/>
    <col min="10519" max="10519" width="12.6640625" customWidth="1"/>
    <col min="10520" max="10520" width="12.33203125" customWidth="1"/>
    <col min="10521" max="10521" width="11.88671875" customWidth="1"/>
    <col min="10754" max="10754" width="20.44140625" customWidth="1"/>
    <col min="10755" max="10755" width="11.33203125" customWidth="1"/>
    <col min="10756" max="10757" width="11" customWidth="1"/>
    <col min="10758" max="10758" width="5.5546875" customWidth="1"/>
    <col min="10759" max="10759" width="19.33203125" customWidth="1"/>
    <col min="10760" max="10760" width="11.33203125" customWidth="1"/>
    <col min="10761" max="10764" width="13" customWidth="1"/>
    <col min="10765" max="10765" width="11.44140625" customWidth="1"/>
    <col min="10766" max="10766" width="12.109375" customWidth="1"/>
    <col min="10767" max="10767" width="6.5546875" customWidth="1"/>
    <col min="10768" max="10768" width="14.33203125" customWidth="1"/>
    <col min="10769" max="10769" width="11.88671875" customWidth="1"/>
    <col min="10770" max="10770" width="10.44140625" customWidth="1"/>
    <col min="10771" max="10771" width="11.6640625" customWidth="1"/>
    <col min="10772" max="10772" width="10.33203125" customWidth="1"/>
    <col min="10773" max="10773" width="11.6640625" customWidth="1"/>
    <col min="10774" max="10774" width="10.33203125" customWidth="1"/>
    <col min="10775" max="10775" width="12.6640625" customWidth="1"/>
    <col min="10776" max="10776" width="12.33203125" customWidth="1"/>
    <col min="10777" max="10777" width="11.88671875" customWidth="1"/>
    <col min="11010" max="11010" width="20.44140625" customWidth="1"/>
    <col min="11011" max="11011" width="11.33203125" customWidth="1"/>
    <col min="11012" max="11013" width="11" customWidth="1"/>
    <col min="11014" max="11014" width="5.5546875" customWidth="1"/>
    <col min="11015" max="11015" width="19.33203125" customWidth="1"/>
    <col min="11016" max="11016" width="11.33203125" customWidth="1"/>
    <col min="11017" max="11020" width="13" customWidth="1"/>
    <col min="11021" max="11021" width="11.44140625" customWidth="1"/>
    <col min="11022" max="11022" width="12.109375" customWidth="1"/>
    <col min="11023" max="11023" width="6.5546875" customWidth="1"/>
    <col min="11024" max="11024" width="14.33203125" customWidth="1"/>
    <col min="11025" max="11025" width="11.88671875" customWidth="1"/>
    <col min="11026" max="11026" width="10.44140625" customWidth="1"/>
    <col min="11027" max="11027" width="11.6640625" customWidth="1"/>
    <col min="11028" max="11028" width="10.33203125" customWidth="1"/>
    <col min="11029" max="11029" width="11.6640625" customWidth="1"/>
    <col min="11030" max="11030" width="10.33203125" customWidth="1"/>
    <col min="11031" max="11031" width="12.6640625" customWidth="1"/>
    <col min="11032" max="11032" width="12.33203125" customWidth="1"/>
    <col min="11033" max="11033" width="11.88671875" customWidth="1"/>
    <col min="11266" max="11266" width="20.44140625" customWidth="1"/>
    <col min="11267" max="11267" width="11.33203125" customWidth="1"/>
    <col min="11268" max="11269" width="11" customWidth="1"/>
    <col min="11270" max="11270" width="5.5546875" customWidth="1"/>
    <col min="11271" max="11271" width="19.33203125" customWidth="1"/>
    <col min="11272" max="11272" width="11.33203125" customWidth="1"/>
    <col min="11273" max="11276" width="13" customWidth="1"/>
    <col min="11277" max="11277" width="11.44140625" customWidth="1"/>
    <col min="11278" max="11278" width="12.109375" customWidth="1"/>
    <col min="11279" max="11279" width="6.5546875" customWidth="1"/>
    <col min="11280" max="11280" width="14.33203125" customWidth="1"/>
    <col min="11281" max="11281" width="11.88671875" customWidth="1"/>
    <col min="11282" max="11282" width="10.44140625" customWidth="1"/>
    <col min="11283" max="11283" width="11.6640625" customWidth="1"/>
    <col min="11284" max="11284" width="10.33203125" customWidth="1"/>
    <col min="11285" max="11285" width="11.6640625" customWidth="1"/>
    <col min="11286" max="11286" width="10.33203125" customWidth="1"/>
    <col min="11287" max="11287" width="12.6640625" customWidth="1"/>
    <col min="11288" max="11288" width="12.33203125" customWidth="1"/>
    <col min="11289" max="11289" width="11.88671875" customWidth="1"/>
    <col min="11522" max="11522" width="20.44140625" customWidth="1"/>
    <col min="11523" max="11523" width="11.33203125" customWidth="1"/>
    <col min="11524" max="11525" width="11" customWidth="1"/>
    <col min="11526" max="11526" width="5.5546875" customWidth="1"/>
    <col min="11527" max="11527" width="19.33203125" customWidth="1"/>
    <col min="11528" max="11528" width="11.33203125" customWidth="1"/>
    <col min="11529" max="11532" width="13" customWidth="1"/>
    <col min="11533" max="11533" width="11.44140625" customWidth="1"/>
    <col min="11534" max="11534" width="12.109375" customWidth="1"/>
    <col min="11535" max="11535" width="6.5546875" customWidth="1"/>
    <col min="11536" max="11536" width="14.33203125" customWidth="1"/>
    <col min="11537" max="11537" width="11.88671875" customWidth="1"/>
    <col min="11538" max="11538" width="10.44140625" customWidth="1"/>
    <col min="11539" max="11539" width="11.6640625" customWidth="1"/>
    <col min="11540" max="11540" width="10.33203125" customWidth="1"/>
    <col min="11541" max="11541" width="11.6640625" customWidth="1"/>
    <col min="11542" max="11542" width="10.33203125" customWidth="1"/>
    <col min="11543" max="11543" width="12.6640625" customWidth="1"/>
    <col min="11544" max="11544" width="12.33203125" customWidth="1"/>
    <col min="11545" max="11545" width="11.88671875" customWidth="1"/>
    <col min="11778" max="11778" width="20.44140625" customWidth="1"/>
    <col min="11779" max="11779" width="11.33203125" customWidth="1"/>
    <col min="11780" max="11781" width="11" customWidth="1"/>
    <col min="11782" max="11782" width="5.5546875" customWidth="1"/>
    <col min="11783" max="11783" width="19.33203125" customWidth="1"/>
    <col min="11784" max="11784" width="11.33203125" customWidth="1"/>
    <col min="11785" max="11788" width="13" customWidth="1"/>
    <col min="11789" max="11789" width="11.44140625" customWidth="1"/>
    <col min="11790" max="11790" width="12.109375" customWidth="1"/>
    <col min="11791" max="11791" width="6.5546875" customWidth="1"/>
    <col min="11792" max="11792" width="14.33203125" customWidth="1"/>
    <col min="11793" max="11793" width="11.88671875" customWidth="1"/>
    <col min="11794" max="11794" width="10.44140625" customWidth="1"/>
    <col min="11795" max="11795" width="11.6640625" customWidth="1"/>
    <col min="11796" max="11796" width="10.33203125" customWidth="1"/>
    <col min="11797" max="11797" width="11.6640625" customWidth="1"/>
    <col min="11798" max="11798" width="10.33203125" customWidth="1"/>
    <col min="11799" max="11799" width="12.6640625" customWidth="1"/>
    <col min="11800" max="11800" width="12.33203125" customWidth="1"/>
    <col min="11801" max="11801" width="11.88671875" customWidth="1"/>
    <col min="12034" max="12034" width="20.44140625" customWidth="1"/>
    <col min="12035" max="12035" width="11.33203125" customWidth="1"/>
    <col min="12036" max="12037" width="11" customWidth="1"/>
    <col min="12038" max="12038" width="5.5546875" customWidth="1"/>
    <col min="12039" max="12039" width="19.33203125" customWidth="1"/>
    <col min="12040" max="12040" width="11.33203125" customWidth="1"/>
    <col min="12041" max="12044" width="13" customWidth="1"/>
    <col min="12045" max="12045" width="11.44140625" customWidth="1"/>
    <col min="12046" max="12046" width="12.109375" customWidth="1"/>
    <col min="12047" max="12047" width="6.5546875" customWidth="1"/>
    <col min="12048" max="12048" width="14.33203125" customWidth="1"/>
    <col min="12049" max="12049" width="11.88671875" customWidth="1"/>
    <col min="12050" max="12050" width="10.44140625" customWidth="1"/>
    <col min="12051" max="12051" width="11.6640625" customWidth="1"/>
    <col min="12052" max="12052" width="10.33203125" customWidth="1"/>
    <col min="12053" max="12053" width="11.6640625" customWidth="1"/>
    <col min="12054" max="12054" width="10.33203125" customWidth="1"/>
    <col min="12055" max="12055" width="12.6640625" customWidth="1"/>
    <col min="12056" max="12056" width="12.33203125" customWidth="1"/>
    <col min="12057" max="12057" width="11.88671875" customWidth="1"/>
    <col min="12290" max="12290" width="20.44140625" customWidth="1"/>
    <col min="12291" max="12291" width="11.33203125" customWidth="1"/>
    <col min="12292" max="12293" width="11" customWidth="1"/>
    <col min="12294" max="12294" width="5.5546875" customWidth="1"/>
    <col min="12295" max="12295" width="19.33203125" customWidth="1"/>
    <col min="12296" max="12296" width="11.33203125" customWidth="1"/>
    <col min="12297" max="12300" width="13" customWidth="1"/>
    <col min="12301" max="12301" width="11.44140625" customWidth="1"/>
    <col min="12302" max="12302" width="12.109375" customWidth="1"/>
    <col min="12303" max="12303" width="6.5546875" customWidth="1"/>
    <col min="12304" max="12304" width="14.33203125" customWidth="1"/>
    <col min="12305" max="12305" width="11.88671875" customWidth="1"/>
    <col min="12306" max="12306" width="10.44140625" customWidth="1"/>
    <col min="12307" max="12307" width="11.6640625" customWidth="1"/>
    <col min="12308" max="12308" width="10.33203125" customWidth="1"/>
    <col min="12309" max="12309" width="11.6640625" customWidth="1"/>
    <col min="12310" max="12310" width="10.33203125" customWidth="1"/>
    <col min="12311" max="12311" width="12.6640625" customWidth="1"/>
    <col min="12312" max="12312" width="12.33203125" customWidth="1"/>
    <col min="12313" max="12313" width="11.88671875" customWidth="1"/>
    <col min="12546" max="12546" width="20.44140625" customWidth="1"/>
    <col min="12547" max="12547" width="11.33203125" customWidth="1"/>
    <col min="12548" max="12549" width="11" customWidth="1"/>
    <col min="12550" max="12550" width="5.5546875" customWidth="1"/>
    <col min="12551" max="12551" width="19.33203125" customWidth="1"/>
    <col min="12552" max="12552" width="11.33203125" customWidth="1"/>
    <col min="12553" max="12556" width="13" customWidth="1"/>
    <col min="12557" max="12557" width="11.44140625" customWidth="1"/>
    <col min="12558" max="12558" width="12.109375" customWidth="1"/>
    <col min="12559" max="12559" width="6.5546875" customWidth="1"/>
    <col min="12560" max="12560" width="14.33203125" customWidth="1"/>
    <col min="12561" max="12561" width="11.88671875" customWidth="1"/>
    <col min="12562" max="12562" width="10.44140625" customWidth="1"/>
    <col min="12563" max="12563" width="11.6640625" customWidth="1"/>
    <col min="12564" max="12564" width="10.33203125" customWidth="1"/>
    <col min="12565" max="12565" width="11.6640625" customWidth="1"/>
    <col min="12566" max="12566" width="10.33203125" customWidth="1"/>
    <col min="12567" max="12567" width="12.6640625" customWidth="1"/>
    <col min="12568" max="12568" width="12.33203125" customWidth="1"/>
    <col min="12569" max="12569" width="11.88671875" customWidth="1"/>
    <col min="12802" max="12802" width="20.44140625" customWidth="1"/>
    <col min="12803" max="12803" width="11.33203125" customWidth="1"/>
    <col min="12804" max="12805" width="11" customWidth="1"/>
    <col min="12806" max="12806" width="5.5546875" customWidth="1"/>
    <col min="12807" max="12807" width="19.33203125" customWidth="1"/>
    <col min="12808" max="12808" width="11.33203125" customWidth="1"/>
    <col min="12809" max="12812" width="13" customWidth="1"/>
    <col min="12813" max="12813" width="11.44140625" customWidth="1"/>
    <col min="12814" max="12814" width="12.109375" customWidth="1"/>
    <col min="12815" max="12815" width="6.5546875" customWidth="1"/>
    <col min="12816" max="12816" width="14.33203125" customWidth="1"/>
    <col min="12817" max="12817" width="11.88671875" customWidth="1"/>
    <col min="12818" max="12818" width="10.44140625" customWidth="1"/>
    <col min="12819" max="12819" width="11.6640625" customWidth="1"/>
    <col min="12820" max="12820" width="10.33203125" customWidth="1"/>
    <col min="12821" max="12821" width="11.6640625" customWidth="1"/>
    <col min="12822" max="12822" width="10.33203125" customWidth="1"/>
    <col min="12823" max="12823" width="12.6640625" customWidth="1"/>
    <col min="12824" max="12824" width="12.33203125" customWidth="1"/>
    <col min="12825" max="12825" width="11.88671875" customWidth="1"/>
    <col min="13058" max="13058" width="20.44140625" customWidth="1"/>
    <col min="13059" max="13059" width="11.33203125" customWidth="1"/>
    <col min="13060" max="13061" width="11" customWidth="1"/>
    <col min="13062" max="13062" width="5.5546875" customWidth="1"/>
    <col min="13063" max="13063" width="19.33203125" customWidth="1"/>
    <col min="13064" max="13064" width="11.33203125" customWidth="1"/>
    <col min="13065" max="13068" width="13" customWidth="1"/>
    <col min="13069" max="13069" width="11.44140625" customWidth="1"/>
    <col min="13070" max="13070" width="12.109375" customWidth="1"/>
    <col min="13071" max="13071" width="6.5546875" customWidth="1"/>
    <col min="13072" max="13072" width="14.33203125" customWidth="1"/>
    <col min="13073" max="13073" width="11.88671875" customWidth="1"/>
    <col min="13074" max="13074" width="10.44140625" customWidth="1"/>
    <col min="13075" max="13075" width="11.6640625" customWidth="1"/>
    <col min="13076" max="13076" width="10.33203125" customWidth="1"/>
    <col min="13077" max="13077" width="11.6640625" customWidth="1"/>
    <col min="13078" max="13078" width="10.33203125" customWidth="1"/>
    <col min="13079" max="13079" width="12.6640625" customWidth="1"/>
    <col min="13080" max="13080" width="12.33203125" customWidth="1"/>
    <col min="13081" max="13081" width="11.88671875" customWidth="1"/>
    <col min="13314" max="13314" width="20.44140625" customWidth="1"/>
    <col min="13315" max="13315" width="11.33203125" customWidth="1"/>
    <col min="13316" max="13317" width="11" customWidth="1"/>
    <col min="13318" max="13318" width="5.5546875" customWidth="1"/>
    <col min="13319" max="13319" width="19.33203125" customWidth="1"/>
    <col min="13320" max="13320" width="11.33203125" customWidth="1"/>
    <col min="13321" max="13324" width="13" customWidth="1"/>
    <col min="13325" max="13325" width="11.44140625" customWidth="1"/>
    <col min="13326" max="13326" width="12.109375" customWidth="1"/>
    <col min="13327" max="13327" width="6.5546875" customWidth="1"/>
    <col min="13328" max="13328" width="14.33203125" customWidth="1"/>
    <col min="13329" max="13329" width="11.88671875" customWidth="1"/>
    <col min="13330" max="13330" width="10.44140625" customWidth="1"/>
    <col min="13331" max="13331" width="11.6640625" customWidth="1"/>
    <col min="13332" max="13332" width="10.33203125" customWidth="1"/>
    <col min="13333" max="13333" width="11.6640625" customWidth="1"/>
    <col min="13334" max="13334" width="10.33203125" customWidth="1"/>
    <col min="13335" max="13335" width="12.6640625" customWidth="1"/>
    <col min="13336" max="13336" width="12.33203125" customWidth="1"/>
    <col min="13337" max="13337" width="11.88671875" customWidth="1"/>
    <col min="13570" max="13570" width="20.44140625" customWidth="1"/>
    <col min="13571" max="13571" width="11.33203125" customWidth="1"/>
    <col min="13572" max="13573" width="11" customWidth="1"/>
    <col min="13574" max="13574" width="5.5546875" customWidth="1"/>
    <col min="13575" max="13575" width="19.33203125" customWidth="1"/>
    <col min="13576" max="13576" width="11.33203125" customWidth="1"/>
    <col min="13577" max="13580" width="13" customWidth="1"/>
    <col min="13581" max="13581" width="11.44140625" customWidth="1"/>
    <col min="13582" max="13582" width="12.109375" customWidth="1"/>
    <col min="13583" max="13583" width="6.5546875" customWidth="1"/>
    <col min="13584" max="13584" width="14.33203125" customWidth="1"/>
    <col min="13585" max="13585" width="11.88671875" customWidth="1"/>
    <col min="13586" max="13586" width="10.44140625" customWidth="1"/>
    <col min="13587" max="13587" width="11.6640625" customWidth="1"/>
    <col min="13588" max="13588" width="10.33203125" customWidth="1"/>
    <col min="13589" max="13589" width="11.6640625" customWidth="1"/>
    <col min="13590" max="13590" width="10.33203125" customWidth="1"/>
    <col min="13591" max="13591" width="12.6640625" customWidth="1"/>
    <col min="13592" max="13592" width="12.33203125" customWidth="1"/>
    <col min="13593" max="13593" width="11.88671875" customWidth="1"/>
    <col min="13826" max="13826" width="20.44140625" customWidth="1"/>
    <col min="13827" max="13827" width="11.33203125" customWidth="1"/>
    <col min="13828" max="13829" width="11" customWidth="1"/>
    <col min="13830" max="13830" width="5.5546875" customWidth="1"/>
    <col min="13831" max="13831" width="19.33203125" customWidth="1"/>
    <col min="13832" max="13832" width="11.33203125" customWidth="1"/>
    <col min="13833" max="13836" width="13" customWidth="1"/>
    <col min="13837" max="13837" width="11.44140625" customWidth="1"/>
    <col min="13838" max="13838" width="12.109375" customWidth="1"/>
    <col min="13839" max="13839" width="6.5546875" customWidth="1"/>
    <col min="13840" max="13840" width="14.33203125" customWidth="1"/>
    <col min="13841" max="13841" width="11.88671875" customWidth="1"/>
    <col min="13842" max="13842" width="10.44140625" customWidth="1"/>
    <col min="13843" max="13843" width="11.6640625" customWidth="1"/>
    <col min="13844" max="13844" width="10.33203125" customWidth="1"/>
    <col min="13845" max="13845" width="11.6640625" customWidth="1"/>
    <col min="13846" max="13846" width="10.33203125" customWidth="1"/>
    <col min="13847" max="13847" width="12.6640625" customWidth="1"/>
    <col min="13848" max="13848" width="12.33203125" customWidth="1"/>
    <col min="13849" max="13849" width="11.88671875" customWidth="1"/>
    <col min="14082" max="14082" width="20.44140625" customWidth="1"/>
    <col min="14083" max="14083" width="11.33203125" customWidth="1"/>
    <col min="14084" max="14085" width="11" customWidth="1"/>
    <col min="14086" max="14086" width="5.5546875" customWidth="1"/>
    <col min="14087" max="14087" width="19.33203125" customWidth="1"/>
    <col min="14088" max="14088" width="11.33203125" customWidth="1"/>
    <col min="14089" max="14092" width="13" customWidth="1"/>
    <col min="14093" max="14093" width="11.44140625" customWidth="1"/>
    <col min="14094" max="14094" width="12.109375" customWidth="1"/>
    <col min="14095" max="14095" width="6.5546875" customWidth="1"/>
    <col min="14096" max="14096" width="14.33203125" customWidth="1"/>
    <col min="14097" max="14097" width="11.88671875" customWidth="1"/>
    <col min="14098" max="14098" width="10.44140625" customWidth="1"/>
    <col min="14099" max="14099" width="11.6640625" customWidth="1"/>
    <col min="14100" max="14100" width="10.33203125" customWidth="1"/>
    <col min="14101" max="14101" width="11.6640625" customWidth="1"/>
    <col min="14102" max="14102" width="10.33203125" customWidth="1"/>
    <col min="14103" max="14103" width="12.6640625" customWidth="1"/>
    <col min="14104" max="14104" width="12.33203125" customWidth="1"/>
    <col min="14105" max="14105" width="11.88671875" customWidth="1"/>
    <col min="14338" max="14338" width="20.44140625" customWidth="1"/>
    <col min="14339" max="14339" width="11.33203125" customWidth="1"/>
    <col min="14340" max="14341" width="11" customWidth="1"/>
    <col min="14342" max="14342" width="5.5546875" customWidth="1"/>
    <col min="14343" max="14343" width="19.33203125" customWidth="1"/>
    <col min="14344" max="14344" width="11.33203125" customWidth="1"/>
    <col min="14345" max="14348" width="13" customWidth="1"/>
    <col min="14349" max="14349" width="11.44140625" customWidth="1"/>
    <col min="14350" max="14350" width="12.109375" customWidth="1"/>
    <col min="14351" max="14351" width="6.5546875" customWidth="1"/>
    <col min="14352" max="14352" width="14.33203125" customWidth="1"/>
    <col min="14353" max="14353" width="11.88671875" customWidth="1"/>
    <col min="14354" max="14354" width="10.44140625" customWidth="1"/>
    <col min="14355" max="14355" width="11.6640625" customWidth="1"/>
    <col min="14356" max="14356" width="10.33203125" customWidth="1"/>
    <col min="14357" max="14357" width="11.6640625" customWidth="1"/>
    <col min="14358" max="14358" width="10.33203125" customWidth="1"/>
    <col min="14359" max="14359" width="12.6640625" customWidth="1"/>
    <col min="14360" max="14360" width="12.33203125" customWidth="1"/>
    <col min="14361" max="14361" width="11.88671875" customWidth="1"/>
    <col min="14594" max="14594" width="20.44140625" customWidth="1"/>
    <col min="14595" max="14595" width="11.33203125" customWidth="1"/>
    <col min="14596" max="14597" width="11" customWidth="1"/>
    <col min="14598" max="14598" width="5.5546875" customWidth="1"/>
    <col min="14599" max="14599" width="19.33203125" customWidth="1"/>
    <col min="14600" max="14600" width="11.33203125" customWidth="1"/>
    <col min="14601" max="14604" width="13" customWidth="1"/>
    <col min="14605" max="14605" width="11.44140625" customWidth="1"/>
    <col min="14606" max="14606" width="12.109375" customWidth="1"/>
    <col min="14607" max="14607" width="6.5546875" customWidth="1"/>
    <col min="14608" max="14608" width="14.33203125" customWidth="1"/>
    <col min="14609" max="14609" width="11.88671875" customWidth="1"/>
    <col min="14610" max="14610" width="10.44140625" customWidth="1"/>
    <col min="14611" max="14611" width="11.6640625" customWidth="1"/>
    <col min="14612" max="14612" width="10.33203125" customWidth="1"/>
    <col min="14613" max="14613" width="11.6640625" customWidth="1"/>
    <col min="14614" max="14614" width="10.33203125" customWidth="1"/>
    <col min="14615" max="14615" width="12.6640625" customWidth="1"/>
    <col min="14616" max="14616" width="12.33203125" customWidth="1"/>
    <col min="14617" max="14617" width="11.88671875" customWidth="1"/>
    <col min="14850" max="14850" width="20.44140625" customWidth="1"/>
    <col min="14851" max="14851" width="11.33203125" customWidth="1"/>
    <col min="14852" max="14853" width="11" customWidth="1"/>
    <col min="14854" max="14854" width="5.5546875" customWidth="1"/>
    <col min="14855" max="14855" width="19.33203125" customWidth="1"/>
    <col min="14856" max="14856" width="11.33203125" customWidth="1"/>
    <col min="14857" max="14860" width="13" customWidth="1"/>
    <col min="14861" max="14861" width="11.44140625" customWidth="1"/>
    <col min="14862" max="14862" width="12.109375" customWidth="1"/>
    <col min="14863" max="14863" width="6.5546875" customWidth="1"/>
    <col min="14864" max="14864" width="14.33203125" customWidth="1"/>
    <col min="14865" max="14865" width="11.88671875" customWidth="1"/>
    <col min="14866" max="14866" width="10.44140625" customWidth="1"/>
    <col min="14867" max="14867" width="11.6640625" customWidth="1"/>
    <col min="14868" max="14868" width="10.33203125" customWidth="1"/>
    <col min="14869" max="14869" width="11.6640625" customWidth="1"/>
    <col min="14870" max="14870" width="10.33203125" customWidth="1"/>
    <col min="14871" max="14871" width="12.6640625" customWidth="1"/>
    <col min="14872" max="14872" width="12.33203125" customWidth="1"/>
    <col min="14873" max="14873" width="11.88671875" customWidth="1"/>
    <col min="15106" max="15106" width="20.44140625" customWidth="1"/>
    <col min="15107" max="15107" width="11.33203125" customWidth="1"/>
    <col min="15108" max="15109" width="11" customWidth="1"/>
    <col min="15110" max="15110" width="5.5546875" customWidth="1"/>
    <col min="15111" max="15111" width="19.33203125" customWidth="1"/>
    <col min="15112" max="15112" width="11.33203125" customWidth="1"/>
    <col min="15113" max="15116" width="13" customWidth="1"/>
    <col min="15117" max="15117" width="11.44140625" customWidth="1"/>
    <col min="15118" max="15118" width="12.109375" customWidth="1"/>
    <col min="15119" max="15119" width="6.5546875" customWidth="1"/>
    <col min="15120" max="15120" width="14.33203125" customWidth="1"/>
    <col min="15121" max="15121" width="11.88671875" customWidth="1"/>
    <col min="15122" max="15122" width="10.44140625" customWidth="1"/>
    <col min="15123" max="15123" width="11.6640625" customWidth="1"/>
    <col min="15124" max="15124" width="10.33203125" customWidth="1"/>
    <col min="15125" max="15125" width="11.6640625" customWidth="1"/>
    <col min="15126" max="15126" width="10.33203125" customWidth="1"/>
    <col min="15127" max="15127" width="12.6640625" customWidth="1"/>
    <col min="15128" max="15128" width="12.33203125" customWidth="1"/>
    <col min="15129" max="15129" width="11.88671875" customWidth="1"/>
    <col min="15362" max="15362" width="20.44140625" customWidth="1"/>
    <col min="15363" max="15363" width="11.33203125" customWidth="1"/>
    <col min="15364" max="15365" width="11" customWidth="1"/>
    <col min="15366" max="15366" width="5.5546875" customWidth="1"/>
    <col min="15367" max="15367" width="19.33203125" customWidth="1"/>
    <col min="15368" max="15368" width="11.33203125" customWidth="1"/>
    <col min="15369" max="15372" width="13" customWidth="1"/>
    <col min="15373" max="15373" width="11.44140625" customWidth="1"/>
    <col min="15374" max="15374" width="12.109375" customWidth="1"/>
    <col min="15375" max="15375" width="6.5546875" customWidth="1"/>
    <col min="15376" max="15376" width="14.33203125" customWidth="1"/>
    <col min="15377" max="15377" width="11.88671875" customWidth="1"/>
    <col min="15378" max="15378" width="10.44140625" customWidth="1"/>
    <col min="15379" max="15379" width="11.6640625" customWidth="1"/>
    <col min="15380" max="15380" width="10.33203125" customWidth="1"/>
    <col min="15381" max="15381" width="11.6640625" customWidth="1"/>
    <col min="15382" max="15382" width="10.33203125" customWidth="1"/>
    <col min="15383" max="15383" width="12.6640625" customWidth="1"/>
    <col min="15384" max="15384" width="12.33203125" customWidth="1"/>
    <col min="15385" max="15385" width="11.88671875" customWidth="1"/>
    <col min="15618" max="15618" width="20.44140625" customWidth="1"/>
    <col min="15619" max="15619" width="11.33203125" customWidth="1"/>
    <col min="15620" max="15621" width="11" customWidth="1"/>
    <col min="15622" max="15622" width="5.5546875" customWidth="1"/>
    <col min="15623" max="15623" width="19.33203125" customWidth="1"/>
    <col min="15624" max="15624" width="11.33203125" customWidth="1"/>
    <col min="15625" max="15628" width="13" customWidth="1"/>
    <col min="15629" max="15629" width="11.44140625" customWidth="1"/>
    <col min="15630" max="15630" width="12.109375" customWidth="1"/>
    <col min="15631" max="15631" width="6.5546875" customWidth="1"/>
    <col min="15632" max="15632" width="14.33203125" customWidth="1"/>
    <col min="15633" max="15633" width="11.88671875" customWidth="1"/>
    <col min="15634" max="15634" width="10.44140625" customWidth="1"/>
    <col min="15635" max="15635" width="11.6640625" customWidth="1"/>
    <col min="15636" max="15636" width="10.33203125" customWidth="1"/>
    <col min="15637" max="15637" width="11.6640625" customWidth="1"/>
    <col min="15638" max="15638" width="10.33203125" customWidth="1"/>
    <col min="15639" max="15639" width="12.6640625" customWidth="1"/>
    <col min="15640" max="15640" width="12.33203125" customWidth="1"/>
    <col min="15641" max="15641" width="11.88671875" customWidth="1"/>
    <col min="15874" max="15874" width="20.44140625" customWidth="1"/>
    <col min="15875" max="15875" width="11.33203125" customWidth="1"/>
    <col min="15876" max="15877" width="11" customWidth="1"/>
    <col min="15878" max="15878" width="5.5546875" customWidth="1"/>
    <col min="15879" max="15879" width="19.33203125" customWidth="1"/>
    <col min="15880" max="15880" width="11.33203125" customWidth="1"/>
    <col min="15881" max="15884" width="13" customWidth="1"/>
    <col min="15885" max="15885" width="11.44140625" customWidth="1"/>
    <col min="15886" max="15886" width="12.109375" customWidth="1"/>
    <col min="15887" max="15887" width="6.5546875" customWidth="1"/>
    <col min="15888" max="15888" width="14.33203125" customWidth="1"/>
    <col min="15889" max="15889" width="11.88671875" customWidth="1"/>
    <col min="15890" max="15890" width="10.44140625" customWidth="1"/>
    <col min="15891" max="15891" width="11.6640625" customWidth="1"/>
    <col min="15892" max="15892" width="10.33203125" customWidth="1"/>
    <col min="15893" max="15893" width="11.6640625" customWidth="1"/>
    <col min="15894" max="15894" width="10.33203125" customWidth="1"/>
    <col min="15895" max="15895" width="12.6640625" customWidth="1"/>
    <col min="15896" max="15896" width="12.33203125" customWidth="1"/>
    <col min="15897" max="15897" width="11.88671875" customWidth="1"/>
    <col min="16130" max="16130" width="20.44140625" customWidth="1"/>
    <col min="16131" max="16131" width="11.33203125" customWidth="1"/>
    <col min="16132" max="16133" width="11" customWidth="1"/>
    <col min="16134" max="16134" width="5.5546875" customWidth="1"/>
    <col min="16135" max="16135" width="19.33203125" customWidth="1"/>
    <col min="16136" max="16136" width="11.33203125" customWidth="1"/>
    <col min="16137" max="16140" width="13" customWidth="1"/>
    <col min="16141" max="16141" width="11.44140625" customWidth="1"/>
    <col min="16142" max="16142" width="12.109375" customWidth="1"/>
    <col min="16143" max="16143" width="6.5546875" customWidth="1"/>
    <col min="16144" max="16144" width="14.33203125" customWidth="1"/>
    <col min="16145" max="16145" width="11.88671875" customWidth="1"/>
    <col min="16146" max="16146" width="10.44140625" customWidth="1"/>
    <col min="16147" max="16147" width="11.6640625" customWidth="1"/>
    <col min="16148" max="16148" width="10.33203125" customWidth="1"/>
    <col min="16149" max="16149" width="11.6640625" customWidth="1"/>
    <col min="16150" max="16150" width="10.33203125" customWidth="1"/>
    <col min="16151" max="16151" width="12.6640625" customWidth="1"/>
    <col min="16152" max="16152" width="12.33203125" customWidth="1"/>
    <col min="16153" max="16153" width="11.88671875" customWidth="1"/>
  </cols>
  <sheetData>
    <row r="1" spans="1:11" x14ac:dyDescent="0.3">
      <c r="A1" s="62" t="s">
        <v>107</v>
      </c>
      <c r="B1" s="32"/>
      <c r="C1" s="32"/>
    </row>
    <row r="2" spans="1:11" x14ac:dyDescent="0.3">
      <c r="A2" s="62"/>
      <c r="B2" s="32"/>
      <c r="C2" s="32"/>
    </row>
    <row r="3" spans="1:11" x14ac:dyDescent="0.3">
      <c r="A3" s="4"/>
      <c r="B3" s="4"/>
      <c r="C3" s="4"/>
      <c r="D3" s="4" t="s">
        <v>24</v>
      </c>
      <c r="E3" s="4"/>
      <c r="F3" s="4" t="s">
        <v>41</v>
      </c>
    </row>
    <row r="4" spans="1:11" x14ac:dyDescent="0.3">
      <c r="A4" s="5" t="s">
        <v>24</v>
      </c>
      <c r="B4" s="5" t="s">
        <v>42</v>
      </c>
      <c r="C4" s="5" t="s">
        <v>43</v>
      </c>
      <c r="D4" s="5" t="s">
        <v>23</v>
      </c>
      <c r="E4" s="5" t="s">
        <v>41</v>
      </c>
      <c r="F4" s="5" t="s">
        <v>44</v>
      </c>
    </row>
    <row r="5" spans="1:11" x14ac:dyDescent="0.3">
      <c r="A5" s="3" t="s">
        <v>45</v>
      </c>
      <c r="B5" s="21">
        <v>450000</v>
      </c>
      <c r="C5" s="22">
        <f>B5/B8</f>
        <v>0.17077798861480076</v>
      </c>
      <c r="D5" s="24">
        <v>0.12</v>
      </c>
      <c r="E5" s="24">
        <f>C5*D5</f>
        <v>2.049335863377609E-2</v>
      </c>
      <c r="F5" s="74" t="s">
        <v>48</v>
      </c>
      <c r="H5" s="2"/>
      <c r="I5" s="68"/>
      <c r="J5" s="9"/>
      <c r="K5" s="28"/>
    </row>
    <row r="6" spans="1:11" x14ac:dyDescent="0.3">
      <c r="A6" s="3" t="s">
        <v>46</v>
      </c>
      <c r="B6" s="21">
        <v>785000</v>
      </c>
      <c r="C6" s="22">
        <f>B6/B8</f>
        <v>0.29791271347248577</v>
      </c>
      <c r="D6" s="24">
        <v>0.14000000000000001</v>
      </c>
      <c r="E6" s="24">
        <f>C6*D6</f>
        <v>4.170777988614801E-2</v>
      </c>
      <c r="F6" s="74" t="s">
        <v>80</v>
      </c>
      <c r="H6" s="2"/>
      <c r="I6" s="68"/>
      <c r="J6" s="15"/>
      <c r="K6" s="29"/>
    </row>
    <row r="7" spans="1:11" x14ac:dyDescent="0.3">
      <c r="A7" s="3" t="s">
        <v>47</v>
      </c>
      <c r="B7" s="21">
        <v>1400000</v>
      </c>
      <c r="C7" s="22">
        <f>B7/B8</f>
        <v>0.53130929791271342</v>
      </c>
      <c r="D7" s="24">
        <v>0.11</v>
      </c>
      <c r="E7" s="24">
        <f>C7*D7</f>
        <v>5.8444022770398479E-2</v>
      </c>
      <c r="F7" s="74" t="s">
        <v>87</v>
      </c>
      <c r="H7" s="2"/>
      <c r="I7" s="68"/>
      <c r="J7" s="2"/>
    </row>
    <row r="8" spans="1:11" x14ac:dyDescent="0.3">
      <c r="A8" s="3" t="s">
        <v>49</v>
      </c>
      <c r="B8" s="25">
        <f>SUM(B5:B7)</f>
        <v>2635000</v>
      </c>
      <c r="C8" s="26">
        <f>SUM(C5:C7)</f>
        <v>1</v>
      </c>
      <c r="D8" s="3"/>
      <c r="E8" s="26">
        <f>SUM(E5:E7)</f>
        <v>0.12064516129032257</v>
      </c>
      <c r="F8" s="75" t="s">
        <v>95</v>
      </c>
      <c r="I8" s="7"/>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23E20-37AE-4AA5-8705-E32D6FBAA58F}">
  <sheetPr codeName="Sheet8"/>
  <dimension ref="A1:S15"/>
  <sheetViews>
    <sheetView workbookViewId="0">
      <selection activeCell="J5" sqref="J5:M7"/>
    </sheetView>
  </sheetViews>
  <sheetFormatPr defaultRowHeight="14.4" x14ac:dyDescent="0.3"/>
  <cols>
    <col min="2" max="2" width="10.5546875" bestFit="1" customWidth="1"/>
    <col min="3" max="3" width="10.6640625" bestFit="1" customWidth="1"/>
    <col min="4" max="4" width="10.5546875" bestFit="1" customWidth="1"/>
    <col min="5" max="5" width="11.5546875" bestFit="1" customWidth="1"/>
    <col min="7" max="7" width="20.44140625" bestFit="1" customWidth="1"/>
    <col min="8" max="8" width="12.88671875" customWidth="1"/>
    <col min="9" max="9" width="20.44140625" bestFit="1" customWidth="1"/>
    <col min="10" max="10" width="10.5546875" bestFit="1" customWidth="1"/>
    <col min="19" max="19" width="13.33203125" bestFit="1" customWidth="1"/>
  </cols>
  <sheetData>
    <row r="1" spans="1:19" x14ac:dyDescent="0.3">
      <c r="A1" s="62" t="s">
        <v>61</v>
      </c>
      <c r="B1" s="32"/>
      <c r="C1" s="32"/>
      <c r="D1" s="32"/>
      <c r="E1" s="32"/>
      <c r="F1" s="32"/>
      <c r="S1" s="27"/>
    </row>
    <row r="2" spans="1:19" x14ac:dyDescent="0.3">
      <c r="A2" s="62"/>
      <c r="B2" s="32"/>
      <c r="C2" s="32"/>
      <c r="D2" s="32"/>
      <c r="E2" s="32"/>
      <c r="F2" s="32"/>
      <c r="S2" s="27"/>
    </row>
    <row r="3" spans="1:19" x14ac:dyDescent="0.3">
      <c r="A3" s="4"/>
      <c r="B3" s="4"/>
      <c r="C3" s="4" t="s">
        <v>50</v>
      </c>
      <c r="D3" s="4" t="s">
        <v>51</v>
      </c>
      <c r="E3" s="4" t="s">
        <v>51</v>
      </c>
      <c r="F3" s="4" t="s">
        <v>24</v>
      </c>
      <c r="G3" s="4"/>
      <c r="H3" s="4"/>
      <c r="I3" s="18"/>
      <c r="J3" s="4" t="s">
        <v>23</v>
      </c>
    </row>
    <row r="4" spans="1:19" x14ac:dyDescent="0.3">
      <c r="A4" s="5" t="s">
        <v>24</v>
      </c>
      <c r="B4" s="5" t="s">
        <v>42</v>
      </c>
      <c r="C4" s="5" t="s">
        <v>38</v>
      </c>
      <c r="D4" s="5" t="s">
        <v>52</v>
      </c>
      <c r="E4" s="5" t="s">
        <v>53</v>
      </c>
      <c r="F4" s="5" t="s">
        <v>23</v>
      </c>
      <c r="G4" s="5" t="s">
        <v>41</v>
      </c>
      <c r="H4" s="63"/>
      <c r="I4" s="18"/>
      <c r="J4" s="5" t="s">
        <v>44</v>
      </c>
    </row>
    <row r="5" spans="1:19" x14ac:dyDescent="0.3">
      <c r="A5" s="3" t="s">
        <v>45</v>
      </c>
      <c r="B5" s="21">
        <v>450000</v>
      </c>
      <c r="C5" s="21">
        <v>75000</v>
      </c>
      <c r="D5" s="21">
        <f>B5+C5</f>
        <v>525000</v>
      </c>
      <c r="E5" s="22">
        <f>D5/D8</f>
        <v>0.18953068592057762</v>
      </c>
      <c r="F5" s="23">
        <v>0.12</v>
      </c>
      <c r="G5" s="24">
        <f>E5*F5</f>
        <v>2.2743682310469315E-2</v>
      </c>
      <c r="H5" s="24"/>
      <c r="I5" t="s">
        <v>21</v>
      </c>
      <c r="J5" s="80">
        <f>(D5*F5)+(D6*F6)+(D7*F7)</f>
        <v>337100</v>
      </c>
      <c r="K5" s="80" t="s">
        <v>117</v>
      </c>
      <c r="L5" s="81"/>
      <c r="M5" s="81"/>
      <c r="S5" s="1"/>
    </row>
    <row r="6" spans="1:19" x14ac:dyDescent="0.3">
      <c r="A6" s="3" t="s">
        <v>46</v>
      </c>
      <c r="B6" s="21">
        <v>785000</v>
      </c>
      <c r="C6" s="21">
        <v>120000</v>
      </c>
      <c r="D6" s="21">
        <f>B6+C6</f>
        <v>905000</v>
      </c>
      <c r="E6" s="22">
        <f>D6/D8</f>
        <v>0.3267148014440433</v>
      </c>
      <c r="F6" s="23">
        <v>0.14000000000000001</v>
      </c>
      <c r="G6" s="24">
        <f>E6*F6</f>
        <v>4.5740072202166068E-2</v>
      </c>
      <c r="H6" s="24"/>
      <c r="I6" t="s">
        <v>22</v>
      </c>
      <c r="J6" s="72">
        <f>D8</f>
        <v>2770000</v>
      </c>
      <c r="K6" s="72" t="s">
        <v>118</v>
      </c>
      <c r="L6" s="41"/>
      <c r="M6" s="41"/>
      <c r="S6" s="1"/>
    </row>
    <row r="7" spans="1:19" x14ac:dyDescent="0.3">
      <c r="A7" s="3" t="s">
        <v>47</v>
      </c>
      <c r="B7" s="21">
        <v>1400000</v>
      </c>
      <c r="C7" s="21">
        <v>-60000</v>
      </c>
      <c r="D7" s="21">
        <f>B7+C7</f>
        <v>1340000</v>
      </c>
      <c r="E7" s="22">
        <f>D7/D8</f>
        <v>0.48375451263537905</v>
      </c>
      <c r="F7" s="23">
        <v>0.11</v>
      </c>
      <c r="G7" s="24">
        <f>E7*F7</f>
        <v>5.3212996389891694E-2</v>
      </c>
      <c r="H7" s="24"/>
      <c r="I7" t="s">
        <v>23</v>
      </c>
      <c r="J7" s="58">
        <f>J5/J6</f>
        <v>0.12169675090252707</v>
      </c>
      <c r="K7" s="58" t="s">
        <v>109</v>
      </c>
      <c r="L7" s="41"/>
      <c r="M7" s="41"/>
      <c r="S7" s="16"/>
    </row>
    <row r="8" spans="1:19" x14ac:dyDescent="0.3">
      <c r="A8" s="3" t="s">
        <v>49</v>
      </c>
      <c r="B8" s="25">
        <f>SUM(B5:B7)</f>
        <v>2635000</v>
      </c>
      <c r="C8" s="25">
        <f>SUM(C5:C7)</f>
        <v>135000</v>
      </c>
      <c r="D8" s="25">
        <f>SUM(D5:D7)</f>
        <v>2770000</v>
      </c>
      <c r="E8" s="26">
        <f>SUM(E5:E7)</f>
        <v>1</v>
      </c>
      <c r="F8" s="3"/>
      <c r="G8" s="26">
        <f>SUM(G5:G7)</f>
        <v>0.12169675090252707</v>
      </c>
      <c r="H8" s="30"/>
    </row>
    <row r="11" spans="1:19" x14ac:dyDescent="0.3">
      <c r="I11" s="76"/>
    </row>
    <row r="12" spans="1:19" x14ac:dyDescent="0.3">
      <c r="H12" s="14"/>
    </row>
    <row r="13" spans="1:19" x14ac:dyDescent="0.3">
      <c r="H13" s="14"/>
    </row>
    <row r="14" spans="1:19" x14ac:dyDescent="0.3">
      <c r="H14" s="14"/>
    </row>
    <row r="15" spans="1:19" x14ac:dyDescent="0.3">
      <c r="H15"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9F88D1-B291-445C-96CF-2DCE40BADEBA}">
  <sheetPr codeName="Sheet9"/>
  <dimension ref="A1:L13"/>
  <sheetViews>
    <sheetView workbookViewId="0">
      <selection activeCell="J7" sqref="J7"/>
    </sheetView>
  </sheetViews>
  <sheetFormatPr defaultRowHeight="14.4" x14ac:dyDescent="0.3"/>
  <cols>
    <col min="2" max="3" width="10.5546875" bestFit="1" customWidth="1"/>
    <col min="4" max="4" width="10.6640625" bestFit="1" customWidth="1"/>
    <col min="7" max="7" width="11.5546875" bestFit="1" customWidth="1"/>
    <col min="9" max="9" width="12.6640625" bestFit="1" customWidth="1"/>
    <col min="10" max="10" width="10.5546875" bestFit="1" customWidth="1"/>
    <col min="11" max="11" width="29.88671875" bestFit="1" customWidth="1"/>
    <col min="12" max="12" width="12.88671875" bestFit="1" customWidth="1"/>
  </cols>
  <sheetData>
    <row r="1" spans="1:12" x14ac:dyDescent="0.3">
      <c r="A1" s="64" t="s">
        <v>62</v>
      </c>
      <c r="B1" s="32"/>
      <c r="C1" s="32"/>
      <c r="D1" s="32"/>
      <c r="E1" s="32"/>
    </row>
    <row r="2" spans="1:12" x14ac:dyDescent="0.3">
      <c r="A2" s="64"/>
      <c r="B2" s="32"/>
      <c r="C2" s="32"/>
      <c r="D2" s="32"/>
      <c r="E2" s="32"/>
    </row>
    <row r="3" spans="1:12" x14ac:dyDescent="0.3">
      <c r="A3" s="4"/>
      <c r="B3" s="4"/>
      <c r="C3" s="4"/>
      <c r="D3" s="4"/>
      <c r="E3" s="4"/>
      <c r="F3" s="4" t="s">
        <v>24</v>
      </c>
      <c r="G3" s="4" t="s">
        <v>51</v>
      </c>
      <c r="H3" s="18"/>
      <c r="I3" s="18"/>
      <c r="J3" s="4" t="s">
        <v>23</v>
      </c>
    </row>
    <row r="4" spans="1:12" x14ac:dyDescent="0.3">
      <c r="A4" s="5" t="s">
        <v>24</v>
      </c>
      <c r="B4" s="5" t="s">
        <v>42</v>
      </c>
      <c r="C4" s="5" t="s">
        <v>54</v>
      </c>
      <c r="D4" s="5" t="s">
        <v>38</v>
      </c>
      <c r="E4" s="5" t="s">
        <v>52</v>
      </c>
      <c r="F4" s="5" t="s">
        <v>23</v>
      </c>
      <c r="G4" s="5" t="s">
        <v>53</v>
      </c>
      <c r="H4" s="18"/>
      <c r="I4" s="18"/>
      <c r="J4" s="5" t="s">
        <v>44</v>
      </c>
    </row>
    <row r="5" spans="1:12" x14ac:dyDescent="0.3">
      <c r="A5" s="3" t="s">
        <v>45</v>
      </c>
      <c r="B5" s="21">
        <v>450000</v>
      </c>
      <c r="C5" s="21">
        <v>665000</v>
      </c>
      <c r="D5" s="21">
        <v>150000</v>
      </c>
      <c r="E5" s="21">
        <v>75000</v>
      </c>
      <c r="F5" s="23">
        <v>0.12</v>
      </c>
      <c r="G5" s="22">
        <f>E5/E8</f>
        <v>0.55555555555555558</v>
      </c>
      <c r="I5" t="s">
        <v>21</v>
      </c>
      <c r="J5" s="29">
        <f>(C8-B8-D8)</f>
        <v>340000</v>
      </c>
      <c r="K5" s="72" t="s">
        <v>115</v>
      </c>
      <c r="L5" s="33"/>
    </row>
    <row r="6" spans="1:12" x14ac:dyDescent="0.3">
      <c r="A6" s="3" t="s">
        <v>46</v>
      </c>
      <c r="B6" s="21">
        <v>785000</v>
      </c>
      <c r="C6" s="21">
        <v>1140000</v>
      </c>
      <c r="D6" s="21">
        <v>240000</v>
      </c>
      <c r="E6" s="21">
        <v>120000</v>
      </c>
      <c r="F6" s="23">
        <v>0.14000000000000001</v>
      </c>
      <c r="G6" s="22">
        <f>E6/E8</f>
        <v>0.88888888888888884</v>
      </c>
      <c r="I6" t="s">
        <v>22</v>
      </c>
      <c r="J6" s="29">
        <f>(B8+E8)</f>
        <v>2770000</v>
      </c>
      <c r="K6" s="72" t="s">
        <v>116</v>
      </c>
      <c r="L6" s="33"/>
    </row>
    <row r="7" spans="1:12" x14ac:dyDescent="0.3">
      <c r="A7" s="3" t="s">
        <v>47</v>
      </c>
      <c r="B7" s="21">
        <v>1400000</v>
      </c>
      <c r="C7" s="21">
        <v>1440000</v>
      </c>
      <c r="D7" s="21">
        <v>-120000</v>
      </c>
      <c r="E7" s="21">
        <v>-60000</v>
      </c>
      <c r="F7" s="23">
        <v>0.11</v>
      </c>
      <c r="G7" s="22">
        <f>E7/E8</f>
        <v>-0.44444444444444442</v>
      </c>
      <c r="I7" t="s">
        <v>23</v>
      </c>
      <c r="J7" s="34">
        <f>J5/J6</f>
        <v>0.12274368231046931</v>
      </c>
      <c r="K7" s="58" t="s">
        <v>109</v>
      </c>
      <c r="L7" s="33"/>
    </row>
    <row r="8" spans="1:12" x14ac:dyDescent="0.3">
      <c r="A8" s="3" t="s">
        <v>49</v>
      </c>
      <c r="B8" s="25">
        <f>SUM(B5:B7)</f>
        <v>2635000</v>
      </c>
      <c r="C8" s="25">
        <f>SUM(C5:C7)</f>
        <v>3245000</v>
      </c>
      <c r="D8" s="25">
        <f>SUM(D5:D7)</f>
        <v>270000</v>
      </c>
      <c r="E8" s="25">
        <f>SUM(E5:E7)</f>
        <v>135000</v>
      </c>
      <c r="F8" s="3"/>
      <c r="G8" s="26">
        <f>SUM(G5:G7)</f>
        <v>1</v>
      </c>
    </row>
    <row r="11" spans="1:12" x14ac:dyDescent="0.3">
      <c r="C11" s="42"/>
      <c r="D11" s="54"/>
      <c r="E11" s="41"/>
      <c r="F11" s="41"/>
      <c r="G11" s="41"/>
      <c r="H11" s="41"/>
      <c r="I11" s="41"/>
      <c r="J11" s="41"/>
    </row>
    <row r="12" spans="1:12" x14ac:dyDescent="0.3">
      <c r="C12" s="42"/>
      <c r="D12" s="41"/>
      <c r="E12" s="41"/>
      <c r="F12" s="41"/>
      <c r="G12" s="41"/>
      <c r="H12" s="41"/>
      <c r="I12" s="41"/>
      <c r="J12" s="41"/>
    </row>
    <row r="13" spans="1:12" x14ac:dyDescent="0.3">
      <c r="C13" s="41"/>
      <c r="D13" s="41"/>
      <c r="E13" s="41"/>
      <c r="F13" s="41"/>
      <c r="G13" s="41"/>
      <c r="H13" s="41"/>
      <c r="I13" s="41"/>
      <c r="J13" s="4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2:H25"/>
  <sheetViews>
    <sheetView workbookViewId="0">
      <selection activeCell="B19" sqref="B19"/>
    </sheetView>
  </sheetViews>
  <sheetFormatPr defaultRowHeight="14.4" x14ac:dyDescent="0.3"/>
  <cols>
    <col min="1" max="1" width="11.88671875" bestFit="1" customWidth="1"/>
    <col min="2" max="2" width="14.5546875" bestFit="1" customWidth="1"/>
    <col min="3" max="6" width="11.33203125" bestFit="1" customWidth="1"/>
    <col min="7" max="7" width="12.109375" bestFit="1" customWidth="1"/>
    <col min="11" max="11" width="34.6640625" bestFit="1" customWidth="1"/>
  </cols>
  <sheetData>
    <row r="2" spans="1:8" x14ac:dyDescent="0.3">
      <c r="A2" s="18"/>
      <c r="B2" s="18"/>
      <c r="C2" s="4"/>
      <c r="D2" s="4"/>
      <c r="E2" s="4" t="s">
        <v>63</v>
      </c>
      <c r="F2" s="4"/>
      <c r="G2" s="4" t="s">
        <v>63</v>
      </c>
    </row>
    <row r="3" spans="1:8" x14ac:dyDescent="0.3">
      <c r="A3" s="5" t="s">
        <v>17</v>
      </c>
      <c r="B3" s="5" t="s">
        <v>64</v>
      </c>
      <c r="C3" s="5" t="s">
        <v>65</v>
      </c>
      <c r="D3" s="5" t="s">
        <v>66</v>
      </c>
      <c r="E3" s="5" t="s">
        <v>67</v>
      </c>
      <c r="F3" s="5" t="s">
        <v>68</v>
      </c>
      <c r="G3" s="5" t="s">
        <v>69</v>
      </c>
    </row>
    <row r="4" spans="1:8" x14ac:dyDescent="0.3">
      <c r="A4" s="51">
        <v>43465</v>
      </c>
      <c r="B4" s="12" t="s">
        <v>59</v>
      </c>
      <c r="C4" s="40">
        <v>-1000000</v>
      </c>
      <c r="D4" s="41"/>
      <c r="E4" s="42">
        <f>SUM(C4:D4)</f>
        <v>-1000000</v>
      </c>
      <c r="F4" s="41"/>
      <c r="G4" s="42">
        <f>C4+D4+F4</f>
        <v>-1000000</v>
      </c>
      <c r="H4" s="41"/>
    </row>
    <row r="5" spans="1:8" x14ac:dyDescent="0.3">
      <c r="A5" s="10">
        <v>43480</v>
      </c>
      <c r="B5" s="12" t="s">
        <v>59</v>
      </c>
      <c r="C5" s="40">
        <v>-10000</v>
      </c>
      <c r="D5" s="41"/>
      <c r="E5" s="42">
        <f t="shared" ref="E5:E9" si="0">SUM(C5:D5)</f>
        <v>-10000</v>
      </c>
      <c r="F5" s="41"/>
      <c r="G5" s="42">
        <f t="shared" ref="G5:G12" si="1">C5+D5+F5</f>
        <v>-10000</v>
      </c>
      <c r="H5" s="41"/>
    </row>
    <row r="6" spans="1:8" x14ac:dyDescent="0.3">
      <c r="A6" s="10">
        <v>43830</v>
      </c>
      <c r="B6" s="12" t="s">
        <v>39</v>
      </c>
      <c r="C6" s="40">
        <v>1090000</v>
      </c>
      <c r="D6" s="41"/>
      <c r="E6" s="42"/>
      <c r="F6" s="41"/>
      <c r="G6" s="42"/>
      <c r="H6" s="41"/>
    </row>
    <row r="7" spans="1:8" x14ac:dyDescent="0.3">
      <c r="A7" s="10">
        <v>43876</v>
      </c>
      <c r="B7" s="12" t="s">
        <v>59</v>
      </c>
      <c r="C7" s="41"/>
      <c r="D7" s="40">
        <v>-5000000</v>
      </c>
      <c r="E7" s="42">
        <f t="shared" si="0"/>
        <v>-5000000</v>
      </c>
      <c r="F7" s="41"/>
      <c r="G7" s="42">
        <f t="shared" si="1"/>
        <v>-5000000</v>
      </c>
      <c r="H7" s="41"/>
    </row>
    <row r="8" spans="1:8" x14ac:dyDescent="0.3">
      <c r="A8" s="10">
        <v>44012</v>
      </c>
      <c r="B8" s="12" t="s">
        <v>59</v>
      </c>
      <c r="C8" s="41"/>
      <c r="D8" s="40">
        <v>-1000000</v>
      </c>
      <c r="E8" s="42">
        <f t="shared" si="0"/>
        <v>-1000000</v>
      </c>
      <c r="F8" s="41"/>
      <c r="G8" s="42">
        <f t="shared" si="1"/>
        <v>-1000000</v>
      </c>
      <c r="H8" s="41"/>
    </row>
    <row r="9" spans="1:8" x14ac:dyDescent="0.3">
      <c r="A9" s="10">
        <v>44196</v>
      </c>
      <c r="B9" s="12" t="s">
        <v>39</v>
      </c>
      <c r="C9" s="40">
        <v>1100000</v>
      </c>
      <c r="D9" s="40">
        <v>6500000</v>
      </c>
      <c r="E9" s="42">
        <f t="shared" si="0"/>
        <v>7600000</v>
      </c>
      <c r="F9" s="41"/>
      <c r="G9" s="42"/>
      <c r="H9" s="41"/>
    </row>
    <row r="10" spans="1:8" x14ac:dyDescent="0.3">
      <c r="A10" s="51">
        <v>44239</v>
      </c>
      <c r="B10" s="12" t="s">
        <v>59</v>
      </c>
      <c r="C10" s="41"/>
      <c r="D10" s="41"/>
      <c r="E10" s="41"/>
      <c r="F10" s="42">
        <v>-4000000</v>
      </c>
      <c r="G10" s="42">
        <f t="shared" si="1"/>
        <v>-4000000</v>
      </c>
      <c r="H10" s="41"/>
    </row>
    <row r="11" spans="1:8" x14ac:dyDescent="0.3">
      <c r="A11" s="10">
        <v>44270</v>
      </c>
      <c r="B11" s="12" t="s">
        <v>59</v>
      </c>
      <c r="C11" s="40">
        <v>500000</v>
      </c>
      <c r="D11" s="41"/>
      <c r="E11" s="41"/>
      <c r="F11" s="42"/>
      <c r="G11" s="42">
        <f t="shared" si="1"/>
        <v>500000</v>
      </c>
      <c r="H11" s="41"/>
    </row>
    <row r="12" spans="1:8" x14ac:dyDescent="0.3">
      <c r="A12" s="10">
        <v>44561</v>
      </c>
      <c r="B12" s="12" t="s">
        <v>39</v>
      </c>
      <c r="C12" s="9">
        <v>900000</v>
      </c>
      <c r="D12" s="9">
        <v>6700000</v>
      </c>
      <c r="F12" s="15">
        <v>4200000</v>
      </c>
      <c r="G12" s="15">
        <f t="shared" si="1"/>
        <v>11800000</v>
      </c>
    </row>
    <row r="16" spans="1:8" x14ac:dyDescent="0.3">
      <c r="A16" s="5" t="s">
        <v>70</v>
      </c>
      <c r="B16" s="5" t="s">
        <v>71</v>
      </c>
      <c r="C16" s="5" t="s">
        <v>44</v>
      </c>
    </row>
    <row r="17" spans="1:3" x14ac:dyDescent="0.3">
      <c r="A17">
        <v>2019</v>
      </c>
      <c r="B17" s="34">
        <f>XIRR(C4:C6,A4:A6,0.1)</f>
        <v>7.9241356253623968E-2</v>
      </c>
      <c r="C17" s="34" t="s">
        <v>72</v>
      </c>
    </row>
    <row r="18" spans="1:3" x14ac:dyDescent="0.3">
      <c r="A18">
        <v>2020</v>
      </c>
      <c r="B18" s="34">
        <f>XIRR(E4:E9,A4:A9,0.1)</f>
        <v>8.4726986289024364E-2</v>
      </c>
      <c r="C18" s="34" t="s">
        <v>73</v>
      </c>
    </row>
    <row r="19" spans="1:3" x14ac:dyDescent="0.3">
      <c r="A19">
        <v>2021</v>
      </c>
      <c r="B19" s="34">
        <f>XIRR(G4:G12,A4:A12,0.1)</f>
        <v>7.3318746685981775E-2</v>
      </c>
      <c r="C19" s="34" t="s">
        <v>74</v>
      </c>
    </row>
    <row r="21" spans="1:3" x14ac:dyDescent="0.3">
      <c r="A21" s="37"/>
      <c r="B21" s="37"/>
      <c r="C21" s="37"/>
    </row>
    <row r="22" spans="1:3" x14ac:dyDescent="0.3">
      <c r="A22" s="20"/>
      <c r="B22" s="37"/>
      <c r="C22" s="37"/>
    </row>
    <row r="23" spans="1:3" x14ac:dyDescent="0.3">
      <c r="A23" s="37"/>
      <c r="B23" s="50"/>
      <c r="C23" s="50"/>
    </row>
    <row r="24" spans="1:3" x14ac:dyDescent="0.3">
      <c r="A24" s="37"/>
      <c r="B24" s="50"/>
      <c r="C24" s="50"/>
    </row>
    <row r="25" spans="1:3" x14ac:dyDescent="0.3">
      <c r="A25" s="37"/>
      <c r="B25" s="50"/>
      <c r="C25" s="50"/>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Q23"/>
  <sheetViews>
    <sheetView workbookViewId="0">
      <selection activeCell="D13" sqref="D13"/>
    </sheetView>
  </sheetViews>
  <sheetFormatPr defaultRowHeight="14.4" x14ac:dyDescent="0.3"/>
  <cols>
    <col min="1" max="1" width="11.6640625" bestFit="1" customWidth="1"/>
    <col min="2" max="2" width="32.44140625" bestFit="1" customWidth="1"/>
    <col min="3" max="3" width="14" bestFit="1" customWidth="1"/>
    <col min="4" max="4" width="12.88671875" bestFit="1" customWidth="1"/>
    <col min="6" max="6" width="10.6640625" bestFit="1" customWidth="1"/>
    <col min="8" max="8" width="12.33203125" customWidth="1"/>
    <col min="9" max="9" width="15.33203125" customWidth="1"/>
    <col min="10" max="10" width="16.5546875" customWidth="1"/>
    <col min="13" max="13" width="12" bestFit="1" customWidth="1"/>
    <col min="16" max="16" width="12" bestFit="1" customWidth="1"/>
  </cols>
  <sheetData>
    <row r="1" spans="1:17" x14ac:dyDescent="0.3">
      <c r="C1" s="61" t="s">
        <v>12</v>
      </c>
      <c r="D1" s="61" t="s">
        <v>12</v>
      </c>
    </row>
    <row r="2" spans="1:17" x14ac:dyDescent="0.3">
      <c r="C2" s="4" t="s">
        <v>8</v>
      </c>
      <c r="D2" s="4" t="s">
        <v>13</v>
      </c>
    </row>
    <row r="3" spans="1:17" x14ac:dyDescent="0.3">
      <c r="C3" s="4" t="s">
        <v>14</v>
      </c>
      <c r="D3" s="4" t="s">
        <v>14</v>
      </c>
    </row>
    <row r="4" spans="1:17" x14ac:dyDescent="0.3">
      <c r="C4" s="4" t="s">
        <v>9</v>
      </c>
      <c r="D4" s="4" t="s">
        <v>9</v>
      </c>
    </row>
    <row r="5" spans="1:17" x14ac:dyDescent="0.3">
      <c r="A5" s="18"/>
      <c r="B5" s="18"/>
      <c r="C5" s="4"/>
      <c r="D5" s="4"/>
    </row>
    <row r="6" spans="1:17" x14ac:dyDescent="0.3">
      <c r="A6" s="5" t="s">
        <v>17</v>
      </c>
      <c r="B6" s="5" t="s">
        <v>10</v>
      </c>
      <c r="C6" s="5" t="s">
        <v>7</v>
      </c>
      <c r="D6" s="5" t="s">
        <v>7</v>
      </c>
      <c r="F6" s="41"/>
      <c r="G6" s="41"/>
      <c r="H6" s="41"/>
      <c r="I6" s="41"/>
      <c r="J6" s="41"/>
      <c r="K6" s="41"/>
      <c r="L6" s="41"/>
      <c r="M6" s="84"/>
      <c r="N6" s="84"/>
      <c r="O6" s="84"/>
      <c r="P6" s="84"/>
      <c r="Q6" s="84"/>
    </row>
    <row r="7" spans="1:17" x14ac:dyDescent="0.3">
      <c r="A7" s="10">
        <v>43836</v>
      </c>
      <c r="B7" t="s">
        <v>16</v>
      </c>
      <c r="C7" s="9"/>
      <c r="D7" s="9">
        <v>-1000000</v>
      </c>
      <c r="F7" s="41"/>
      <c r="G7" s="41"/>
      <c r="H7" s="41"/>
      <c r="I7" s="83"/>
      <c r="J7" s="83"/>
      <c r="K7" s="41"/>
      <c r="L7" s="41"/>
      <c r="M7" s="84"/>
      <c r="N7" s="84"/>
      <c r="O7" s="84"/>
      <c r="P7" s="84"/>
      <c r="Q7" s="84"/>
    </row>
    <row r="8" spans="1:17" x14ac:dyDescent="0.3">
      <c r="A8" s="10">
        <v>44013</v>
      </c>
      <c r="B8" t="s">
        <v>16</v>
      </c>
      <c r="C8" s="9"/>
      <c r="D8" s="9">
        <v>-500000</v>
      </c>
      <c r="F8" s="41"/>
      <c r="G8" s="41"/>
      <c r="H8" s="41"/>
      <c r="I8" s="83"/>
      <c r="J8" s="83"/>
      <c r="K8" s="41"/>
      <c r="L8" s="41"/>
      <c r="M8" s="84"/>
      <c r="N8" s="84"/>
      <c r="O8" s="84"/>
      <c r="P8" s="84"/>
      <c r="Q8" s="84"/>
    </row>
    <row r="9" spans="1:17" x14ac:dyDescent="0.3">
      <c r="A9" s="10">
        <v>44105</v>
      </c>
      <c r="B9" t="s">
        <v>16</v>
      </c>
      <c r="C9" s="9"/>
      <c r="D9" s="9">
        <v>-500000</v>
      </c>
      <c r="F9" s="41"/>
      <c r="G9" s="41"/>
      <c r="H9" s="41"/>
      <c r="I9" s="83"/>
      <c r="J9" s="83"/>
      <c r="K9" s="41"/>
      <c r="L9" s="41"/>
    </row>
    <row r="10" spans="1:17" x14ac:dyDescent="0.3">
      <c r="A10" s="51">
        <v>44180</v>
      </c>
      <c r="B10" t="s">
        <v>15</v>
      </c>
      <c r="C10" s="9">
        <v>-2000000</v>
      </c>
      <c r="D10" s="9"/>
      <c r="F10" s="41"/>
      <c r="G10" s="41"/>
      <c r="H10" s="42"/>
      <c r="I10" s="52"/>
      <c r="J10" s="52"/>
      <c r="K10" s="41"/>
      <c r="L10" s="41"/>
      <c r="M10" s="12"/>
      <c r="P10" s="12"/>
    </row>
    <row r="11" spans="1:17" x14ac:dyDescent="0.3">
      <c r="A11" s="10">
        <v>44470</v>
      </c>
      <c r="B11" t="s">
        <v>15</v>
      </c>
      <c r="C11" s="9">
        <v>-1000000</v>
      </c>
      <c r="D11" s="9">
        <v>-1000000</v>
      </c>
      <c r="F11" s="53"/>
      <c r="G11" s="41"/>
      <c r="H11" s="42"/>
      <c r="I11" s="52"/>
      <c r="J11" s="52"/>
      <c r="K11" s="41"/>
      <c r="L11" s="41"/>
      <c r="M11" s="12"/>
      <c r="P11" s="12"/>
    </row>
    <row r="12" spans="1:17" x14ac:dyDescent="0.3">
      <c r="A12" s="10">
        <v>44561</v>
      </c>
      <c r="B12" t="s">
        <v>11</v>
      </c>
      <c r="C12" s="9">
        <v>3500000</v>
      </c>
      <c r="D12" s="9">
        <v>3500000</v>
      </c>
      <c r="F12" s="41"/>
      <c r="G12" s="41"/>
      <c r="H12" s="41"/>
      <c r="I12" s="52"/>
      <c r="J12" s="52"/>
      <c r="K12" s="41"/>
      <c r="L12" s="41"/>
      <c r="N12" s="2"/>
      <c r="Q12" s="2"/>
    </row>
    <row r="13" spans="1:17" x14ac:dyDescent="0.3">
      <c r="B13" t="s">
        <v>18</v>
      </c>
      <c r="C13" s="11">
        <f>XIRR(C10:C12,A10:A12,0.1)</f>
        <v>0.21474853157997134</v>
      </c>
      <c r="D13" s="11">
        <f>XIRR(D7:D12,A7:A12,0.1)</f>
        <v>0.13283923268318176</v>
      </c>
      <c r="F13" s="41"/>
      <c r="G13" s="54"/>
      <c r="H13" s="41"/>
      <c r="I13" s="52"/>
      <c r="J13" s="52"/>
      <c r="K13" s="41"/>
      <c r="L13" s="41"/>
    </row>
    <row r="14" spans="1:17" x14ac:dyDescent="0.3">
      <c r="C14" s="9"/>
      <c r="D14" s="9"/>
      <c r="F14" s="41"/>
      <c r="G14" s="41"/>
      <c r="H14" s="41"/>
      <c r="I14" s="41"/>
      <c r="J14" s="41"/>
      <c r="K14" s="41"/>
      <c r="L14" s="41"/>
      <c r="M14" s="12"/>
      <c r="P14" s="12"/>
    </row>
    <row r="15" spans="1:17" x14ac:dyDescent="0.3">
      <c r="C15" s="2"/>
      <c r="D15" s="2"/>
      <c r="M15" s="12"/>
      <c r="P15" s="12"/>
    </row>
    <row r="16" spans="1:17" x14ac:dyDescent="0.3">
      <c r="C16" s="9"/>
      <c r="D16" s="9"/>
      <c r="N16" s="2"/>
      <c r="Q16" s="2"/>
    </row>
    <row r="23" spans="3:4" x14ac:dyDescent="0.3">
      <c r="C23" s="2"/>
      <c r="D23" s="2"/>
    </row>
  </sheetData>
  <mergeCells count="3">
    <mergeCell ref="I7:I9"/>
    <mergeCell ref="J7:J9"/>
    <mergeCell ref="M6:Q8"/>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DA79330DDB39949977C72F7893FE59B" ma:contentTypeVersion="4" ma:contentTypeDescription="Create a new document." ma:contentTypeScope="" ma:versionID="7cf603f5aa7cfb0699ce4cb244a0511c">
  <xsd:schema xmlns:xsd="http://www.w3.org/2001/XMLSchema" xmlns:xs="http://www.w3.org/2001/XMLSchema" xmlns:p="http://schemas.microsoft.com/office/2006/metadata/properties" xmlns:ns3="18928e69-a32f-4899-b47e-0f4d606b2ec4" targetNamespace="http://schemas.microsoft.com/office/2006/metadata/properties" ma:root="true" ma:fieldsID="d0ec320af7b3c3023eb4c9fe67dce02d" ns3:_="">
    <xsd:import namespace="18928e69-a32f-4899-b47e-0f4d606b2ec4"/>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8928e69-a32f-4899-b47e-0f4d606b2e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5066C2C-0E26-4173-B5B5-2CF7D9998165}">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18928e69-a32f-4899-b47e-0f4d606b2ec4"/>
    <ds:schemaRef ds:uri="http://www.w3.org/XML/1998/namespace"/>
    <ds:schemaRef ds:uri="http://purl.org/dc/dcmitype/"/>
  </ds:schemaRefs>
</ds:datastoreItem>
</file>

<file path=customXml/itemProps2.xml><?xml version="1.0" encoding="utf-8"?>
<ds:datastoreItem xmlns:ds="http://schemas.openxmlformats.org/officeDocument/2006/customXml" ds:itemID="{CB875EF7-C552-4774-A136-492A7C9BB05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8928e69-a32f-4899-b47e-0f4d606b2e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4941911-DAC8-482D-8EC3-20AAC350790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PLEASE READ</vt:lpstr>
      <vt:lpstr>2.A.12</vt:lpstr>
      <vt:lpstr>2.A.24 End of Day</vt:lpstr>
      <vt:lpstr>2.A.24 Beg of Day</vt:lpstr>
      <vt:lpstr>2.A.24 End of Day LCF</vt:lpstr>
      <vt:lpstr>2.A.29</vt:lpstr>
      <vt:lpstr>2.A.36 Comp. Calcs BMV</vt:lpstr>
      <vt:lpstr>2.A.36 Comp. Calcs BMV+Wtd CF</vt:lpstr>
      <vt:lpstr>2.A.36 Comp. Calcs Agg Method</vt:lpstr>
      <vt:lpstr>2.A.39</vt:lpstr>
      <vt:lpstr>2.A.50</vt:lpstr>
      <vt:lpstr>'2.A.24 End of Day'!_Hlk10034814</vt:lpstr>
      <vt:lpstr>'2.A.24 End of Day'!_Hlk23595869</vt:lpstr>
      <vt:lpstr>'2.A.24 End of Day'!_Hlk535664429</vt:lpstr>
      <vt:lpstr>'2.A.24 End of Day'!_Hlk535664675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Terris</dc:creator>
  <cp:lastModifiedBy>Robin Willis</cp:lastModifiedBy>
  <dcterms:created xsi:type="dcterms:W3CDTF">2019-05-24T21:01:14Z</dcterms:created>
  <dcterms:modified xsi:type="dcterms:W3CDTF">2021-01-20T20:20:06Z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0x0101001DA79330DDB39949977C72F7893FE59B</vt:lpwstr>
  </property>
</Properties>
</file>