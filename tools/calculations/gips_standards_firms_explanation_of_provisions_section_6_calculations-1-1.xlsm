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workbookPr defaultThemeVersion="166925"/>
  <mc:AlternateContent xmlns:mc="http://schemas.openxmlformats.org/markup-compatibility/2006">
    <mc:Choice Requires="x15">
      <x15ac:absPath xmlns:x15ac="http://schemas.microsoft.com/office/spreadsheetml/2010/11/ac" url="C:\Users\kdv\Documents\2020 Handbook\typeset docs\"/>
    </mc:Choice>
  </mc:AlternateContent>
  <xr:revisionPtr revIDLastSave="0" documentId="13_ncr:1_{E7DC4617-8F55-4BF1-B721-5FE2952F9230}" xr6:coauthVersionLast="33" xr6:coauthVersionMax="41" xr10:uidLastSave="{00000000-0000-0000-0000-000000000000}"/>
  <bookViews>
    <workbookView xWindow="-28920" yWindow="-120" windowWidth="29040" windowHeight="15840" activeTab="1" xr2:uid="{4E4C2E5A-3FF8-490F-9115-55746E69B819}"/>
  </bookViews>
  <sheets>
    <sheet name="PLEASE READ" sheetId="4" r:id="rId1"/>
    <sheet name="6.A.1.h, 3-yr ex post std dev" sheetId="1" r:id="rId2"/>
    <sheet name="6.B.2.a" sheetId="5" r:id="rId3"/>
    <sheet name="6.B.2.c" sheetId="6" r:id="rId4"/>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1" l="1"/>
  <c r="C14" i="5" l="1"/>
  <c r="B17" i="6" l="1"/>
  <c r="B11" i="6"/>
  <c r="C15" i="5"/>
  <c r="C16" i="5"/>
  <c r="C17" i="5"/>
  <c r="C18" i="5"/>
  <c r="C13" i="5"/>
  <c r="C20" i="5" s="1"/>
  <c r="F4" i="1" l="1"/>
  <c r="G4" i="1"/>
  <c r="G3" i="1"/>
</calcChain>
</file>

<file path=xl/sharedStrings.xml><?xml version="1.0" encoding="utf-8"?>
<sst xmlns="http://schemas.openxmlformats.org/spreadsheetml/2006/main" count="36" uniqueCount="35">
  <si>
    <t>Monthly</t>
  </si>
  <si>
    <t>3-Yr Ex-Post Std Dev</t>
  </si>
  <si>
    <t>Benchmark Return</t>
  </si>
  <si>
    <t>&lt;-Using STDEVP Excel function</t>
  </si>
  <si>
    <t>&lt;-Using STDEV Excel function</t>
  </si>
  <si>
    <t>Composite</t>
  </si>
  <si>
    <t>The content in this spreadsheet is for informational purposes only. You should not construe any such information or other material as legal, tax, investment, financial, or other advice. You alone assume the sole responsibility of evaluating the merits and risks associated with the use of any information or other Content on the Site before making any decisions based on such information or other Content. You agree not to hold CFA Institute or its subsidiaries liable for any possible claim arising from any decision you make based on information or content made available to you through this spreadsheet.</t>
  </si>
  <si>
    <t>Jan 2020-Jun 2020</t>
  </si>
  <si>
    <t>Pooled Fund</t>
  </si>
  <si>
    <t>Cumulative Return</t>
  </si>
  <si>
    <t>five-year average annual compound return, or annualized return, of 20.11%, calculated as follows:</t>
  </si>
  <si>
    <t>=(1+1.5)^(1/5)-1</t>
  </si>
  <si>
    <t>5 Year Annualized Return</t>
  </si>
  <si>
    <t>If instead the 150% is achieved over 12.5 years, the 12.5-year average annual compound return, or</t>
  </si>
  <si>
    <t>annualized return, is 7.61%, calculated as follows:</t>
  </si>
  <si>
    <t>12.5 Year Annualized Return</t>
  </si>
  <si>
    <t>=(1+1.5)^(1/12.5)-1</t>
  </si>
  <si>
    <t>Assume a pooled fund’s cumulative return for a five-year period is 150.0%. It has a</t>
  </si>
  <si>
    <t>Calculating cumulative returns</t>
  </si>
  <si>
    <t>To calculate cumulative returns of a pooled fund for any period, the historical daily, monthly,</t>
  </si>
  <si>
    <t>quarterly, or annual sub-period returns are geometrically linked according to the following</t>
  </si>
  <si>
    <t>formula:</t>
  </si>
  <si>
    <t>recent period.</t>
  </si>
  <si>
    <r>
      <t>1 + R</t>
    </r>
    <r>
      <rPr>
        <vertAlign val="subscript"/>
        <sz val="10"/>
        <color theme="1"/>
        <rFont val="Calibri"/>
        <family val="2"/>
        <scheme val="minor"/>
      </rPr>
      <t>n</t>
    </r>
  </si>
  <si>
    <t>=C13*C14*C15*C16*C17*C18-1</t>
  </si>
  <si>
    <t>Calculating annualized returns</t>
  </si>
  <si>
    <t>The formula for calculating annualized performance is as follows:</t>
  </si>
  <si>
    <t>where R is the cumulative return for the period and n is the number of years in the period.</t>
  </si>
  <si>
    <r>
      <t>Annualized return (%) = [(1 + R)</t>
    </r>
    <r>
      <rPr>
        <b/>
        <vertAlign val="superscript"/>
        <sz val="11"/>
        <color theme="1"/>
        <rFont val="Calibri"/>
        <family val="2"/>
        <scheme val="minor"/>
      </rPr>
      <t>1/n</t>
    </r>
    <r>
      <rPr>
        <b/>
        <sz val="11"/>
        <color theme="1"/>
        <rFont val="Calibri"/>
        <family val="2"/>
        <scheme val="minor"/>
      </rPr>
      <t>] – 1,</t>
    </r>
  </si>
  <si>
    <r>
      <t>R</t>
    </r>
    <r>
      <rPr>
        <b/>
        <vertAlign val="subscript"/>
        <sz val="11"/>
        <rFont val="Calibri"/>
        <family val="2"/>
        <scheme val="minor"/>
      </rPr>
      <t>CUM</t>
    </r>
    <r>
      <rPr>
        <b/>
        <sz val="11"/>
        <rFont val="Calibri"/>
        <family val="2"/>
        <scheme val="minor"/>
      </rPr>
      <t xml:space="preserve"> = [(1 + R</t>
    </r>
    <r>
      <rPr>
        <b/>
        <vertAlign val="subscript"/>
        <sz val="9"/>
        <rFont val="Calibri"/>
        <family val="2"/>
        <scheme val="minor"/>
      </rPr>
      <t>1</t>
    </r>
    <r>
      <rPr>
        <b/>
        <sz val="11"/>
        <rFont val="Calibri"/>
        <family val="2"/>
        <scheme val="minor"/>
      </rPr>
      <t>) × (1 + R</t>
    </r>
    <r>
      <rPr>
        <b/>
        <vertAlign val="subscript"/>
        <sz val="11"/>
        <rFont val="Calibri"/>
        <family val="2"/>
        <scheme val="minor"/>
      </rPr>
      <t>2</t>
    </r>
    <r>
      <rPr>
        <b/>
        <sz val="11"/>
        <rFont val="Calibri"/>
        <family val="2"/>
        <scheme val="minor"/>
      </rPr>
      <t>)×…× + (1 + R</t>
    </r>
    <r>
      <rPr>
        <b/>
        <vertAlign val="subscript"/>
        <sz val="11"/>
        <rFont val="Calibri"/>
        <family val="2"/>
        <scheme val="minor"/>
      </rPr>
      <t>n</t>
    </r>
    <r>
      <rPr>
        <b/>
        <sz val="11"/>
        <rFont val="Calibri"/>
        <family val="2"/>
        <scheme val="minor"/>
      </rPr>
      <t>)]-1</t>
    </r>
  </si>
  <si>
    <r>
      <t>where R</t>
    </r>
    <r>
      <rPr>
        <b/>
        <vertAlign val="subscript"/>
        <sz val="11"/>
        <rFont val="Calibri"/>
        <family val="2"/>
        <scheme val="minor"/>
      </rPr>
      <t>1</t>
    </r>
    <r>
      <rPr>
        <b/>
        <sz val="11"/>
        <rFont val="Calibri"/>
        <family val="2"/>
        <scheme val="minor"/>
      </rPr>
      <t xml:space="preserve"> is the pooled fund return for Period 1 and R</t>
    </r>
    <r>
      <rPr>
        <b/>
        <vertAlign val="subscript"/>
        <sz val="11"/>
        <rFont val="Calibri"/>
        <family val="2"/>
        <scheme val="minor"/>
      </rPr>
      <t>n</t>
    </r>
    <r>
      <rPr>
        <b/>
        <sz val="11"/>
        <rFont val="Calibri"/>
        <family val="2"/>
        <scheme val="minor"/>
      </rPr>
      <t xml:space="preserve"> is the pooled fund return for the most</t>
    </r>
  </si>
  <si>
    <t>Benchmark</t>
  </si>
  <si>
    <t>(Calculate the standard deviation based on the entire population)</t>
  </si>
  <si>
    <t>(Calculate the standard deviation based on a sample)</t>
  </si>
  <si>
    <t>Pooled Fund  Return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</si>
</sst>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_(* #,##0.000_);_(* \(#,##0.000\);_(* &quot;-&quot;??_);_(@_)"/>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vertAlign val="subscript"/>
      <sz val="10"/>
      <color theme="1"/>
      <name val="Calibri"/>
      <family val="2"/>
      <scheme val="minor"/>
    </font>
    <font>
      <b/>
      <vertAlign val="superscript"/>
      <sz val="11"/>
      <color theme="1"/>
      <name val="Calibri"/>
      <family val="2"/>
      <scheme val="minor"/>
    </font>
    <font>
      <u/>
      <sz val="11"/>
      <color theme="1"/>
      <name val="Calibri"/>
      <family val="2"/>
      <scheme val="minor"/>
    </font>
    <font>
      <b/>
      <sz val="11"/>
      <name val="Calibri"/>
      <family val="2"/>
      <scheme val="minor"/>
    </font>
    <font>
      <b/>
      <vertAlign val="subscript"/>
      <sz val="11"/>
      <name val="Calibri"/>
      <family val="2"/>
      <scheme val="minor"/>
    </font>
    <font>
      <b/>
      <vertAlign val="subscript"/>
      <sz val="9"/>
      <name val="Calibri"/>
      <family val="2"/>
      <scheme val="minor"/>
    </font>
    <font>
      <sz val="11"/>
      <name val="Calibri"/>
      <family val="2"/>
      <scheme val="minor"/>
    </font>
  </fonts>
  <fills count="2">
    <fill>
      <patternFill patternType="none"/>
    </fill>
    <fill>
      <patternFill patternType="gray125"/>
    </fill>
  </fills>
  <borders count="4">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19">
    <xf numFmtId="0" fontId="0" fillId="0" borderId="0" xfId="0"/>
    <xf numFmtId="0" fontId="2" fillId="0" borderId="3" xfId="0" applyFont="1" applyBorder="1" applyAlignment="1">
      <alignment wrapText="1"/>
    </xf>
    <xf numFmtId="0" fontId="2" fillId="0" borderId="3" xfId="0" applyFont="1" applyBorder="1" applyAlignment="1">
      <alignment horizontal="center"/>
    </xf>
    <xf numFmtId="14" fontId="0" fillId="0" borderId="0" xfId="0" applyNumberFormat="1"/>
    <xf numFmtId="10" fontId="0" fillId="0" borderId="0" xfId="1" applyNumberFormat="1" applyFont="1"/>
    <xf numFmtId="10" fontId="0" fillId="0" borderId="3" xfId="1" applyNumberFormat="1" applyFont="1" applyBorder="1"/>
    <xf numFmtId="0" fontId="2" fillId="0" borderId="0" xfId="0" applyFont="1"/>
    <xf numFmtId="0" fontId="3" fillId="0" borderId="0" xfId="0" applyFont="1" applyAlignment="1">
      <alignment vertical="center" wrapText="1"/>
    </xf>
    <xf numFmtId="164" fontId="0" fillId="0" borderId="0" xfId="1" applyNumberFormat="1" applyFont="1"/>
    <xf numFmtId="165" fontId="0" fillId="0" borderId="0" xfId="2" applyNumberFormat="1" applyFont="1"/>
    <xf numFmtId="164" fontId="0" fillId="0" borderId="0" xfId="1" quotePrefix="1" applyNumberFormat="1" applyFont="1"/>
    <xf numFmtId="10" fontId="0" fillId="0" borderId="0" xfId="1" quotePrefix="1" applyNumberFormat="1" applyFont="1"/>
    <xf numFmtId="9" fontId="0" fillId="0" borderId="0" xfId="0" applyNumberFormat="1"/>
    <xf numFmtId="0" fontId="2" fillId="0" borderId="1" xfId="0" applyFont="1" applyBorder="1" applyAlignment="1">
      <alignment horizontal="center" wrapText="1"/>
    </xf>
    <xf numFmtId="0" fontId="2" fillId="0" borderId="2" xfId="0" applyFont="1" applyBorder="1" applyAlignment="1">
      <alignment horizontal="center" wrapText="1"/>
    </xf>
    <xf numFmtId="0" fontId="7" fillId="0" borderId="0" xfId="0" applyFont="1"/>
    <xf numFmtId="0" fontId="10" fillId="0" borderId="0" xfId="0" applyFont="1"/>
    <xf numFmtId="0" fontId="6" fillId="0" borderId="0" xfId="0" applyFont="1" applyFill="1"/>
    <xf numFmtId="0" fontId="0" fillId="0" borderId="0" xfId="0" applyFill="1"/>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B3FB2-AD6C-4800-B236-46B7F0D70929}">
  <dimension ref="A1"/>
  <sheetViews>
    <sheetView workbookViewId="0">
      <selection activeCell="A11" sqref="A11"/>
    </sheetView>
  </sheetViews>
  <sheetFormatPr defaultRowHeight="15" x14ac:dyDescent="0.25"/>
  <cols>
    <col min="1" max="1" width="101.140625" customWidth="1"/>
  </cols>
  <sheetData>
    <row r="1" spans="1:1" ht="131.25" x14ac:dyDescent="0.25">
      <c r="A1" s="7" t="s">
        <v>6</v>
      </c>
    </row>
  </sheetData>
  <sheetProtection algorithmName="SHA-512" hashValue="+r9Uv0C3/ViEjCn4PWH+hzeGwm5hUoMdv6/8/L/87KdADKDiAJJaQ2jUFNk0l2ZYqpHtE8rPEsiVrgL1t99QNw==" saltValue="SFqMR1m78irZ7g++XrprnA=="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1BD97-94FE-4AFF-9CEC-B0A528FBD9E5}">
  <dimension ref="A1:V38"/>
  <sheetViews>
    <sheetView tabSelected="1" workbookViewId="0">
      <selection activeCell="B1" sqref="B1"/>
    </sheetView>
  </sheetViews>
  <sheetFormatPr defaultRowHeight="15" x14ac:dyDescent="0.25"/>
  <cols>
    <col min="1" max="1" width="10.7109375" bestFit="1" customWidth="1"/>
    <col min="2" max="2" width="22.7109375" bestFit="1" customWidth="1"/>
    <col min="3" max="3" width="17.5703125" bestFit="1" customWidth="1"/>
    <col min="4" max="4" width="17.5703125" customWidth="1"/>
    <col min="6" max="6" width="10.5703125" customWidth="1"/>
    <col min="7" max="7" width="11.42578125" customWidth="1"/>
    <col min="8" max="8" width="28.28515625" bestFit="1" customWidth="1"/>
  </cols>
  <sheetData>
    <row r="1" spans="1:22" ht="15.75" thickBot="1" x14ac:dyDescent="0.3">
      <c r="B1" t="s">
        <v>0</v>
      </c>
      <c r="C1" t="s">
        <v>0</v>
      </c>
      <c r="F1" s="13" t="s">
        <v>1</v>
      </c>
      <c r="G1" s="14"/>
    </row>
    <row r="2" spans="1:22" ht="15.75" thickBot="1" x14ac:dyDescent="0.3">
      <c r="B2" t="s">
        <v>34</v>
      </c>
      <c r="C2" t="s">
        <v>2</v>
      </c>
      <c r="F2" s="1" t="s">
        <v>5</v>
      </c>
      <c r="G2" s="2" t="s">
        <v>31</v>
      </c>
    </row>
    <row r="3" spans="1:22" ht="15.75" thickBot="1" x14ac:dyDescent="0.3">
      <c r="A3" s="3">
        <v>43131</v>
      </c>
      <c r="B3" s="4">
        <v>1.2999999999999999E-2</v>
      </c>
      <c r="C3" s="4">
        <v>1.41E-2</v>
      </c>
      <c r="D3" s="4"/>
      <c r="F3" s="5">
        <f>STDEVP(B3:B38)*SQRT(12)</f>
        <v>2.6429781182093298E-2</v>
      </c>
      <c r="G3" s="5">
        <f>STDEVP(C3:C38)*SQRT(12)</f>
        <v>2.740328447467566E-2</v>
      </c>
      <c r="H3" s="6" t="s">
        <v>3</v>
      </c>
      <c r="I3" t="s">
        <v>32</v>
      </c>
    </row>
    <row r="4" spans="1:22" ht="15.75" thickBot="1" x14ac:dyDescent="0.3">
      <c r="A4" s="3">
        <v>43159</v>
      </c>
      <c r="B4" s="4">
        <v>9.1000000000000004E-3</v>
      </c>
      <c r="C4" s="4">
        <v>9.7999999999999997E-3</v>
      </c>
      <c r="D4" s="4"/>
      <c r="F4" s="5">
        <f>STDEV(B3:B38)*SQRT(12)</f>
        <v>2.6804690421107797E-2</v>
      </c>
      <c r="G4" s="5">
        <f>STDEV(C3:C38)*SQRT(12)</f>
        <v>2.7792002960769644E-2</v>
      </c>
      <c r="H4" s="6" t="s">
        <v>4</v>
      </c>
      <c r="I4" t="s">
        <v>33</v>
      </c>
    </row>
    <row r="5" spans="1:22" x14ac:dyDescent="0.25">
      <c r="A5" s="3">
        <v>43190</v>
      </c>
      <c r="B5" s="4">
        <v>4.4999999999999997E-3</v>
      </c>
      <c r="C5" s="4">
        <v>4.8999999999999998E-3</v>
      </c>
      <c r="D5" s="4"/>
    </row>
    <row r="6" spans="1:22" x14ac:dyDescent="0.25">
      <c r="A6" s="3">
        <v>43220</v>
      </c>
      <c r="B6" s="4">
        <v>5.7999999999999996E-3</v>
      </c>
      <c r="C6" s="4">
        <v>6.4000000000000003E-3</v>
      </c>
      <c r="D6" s="4"/>
    </row>
    <row r="7" spans="1:22" x14ac:dyDescent="0.25">
      <c r="A7" s="3">
        <v>43251</v>
      </c>
      <c r="B7" s="4">
        <v>1.3299999999999999E-2</v>
      </c>
      <c r="C7" s="4">
        <v>1.37E-2</v>
      </c>
      <c r="D7" s="4"/>
      <c r="F7" s="18"/>
      <c r="G7" s="18"/>
      <c r="H7" s="18"/>
      <c r="I7" s="18"/>
      <c r="J7" s="18"/>
      <c r="K7" s="18"/>
      <c r="L7" s="18"/>
      <c r="M7" s="18"/>
      <c r="N7" s="18"/>
      <c r="O7" s="18"/>
      <c r="P7" s="18"/>
      <c r="Q7" s="18"/>
      <c r="R7" s="18"/>
      <c r="S7" s="18"/>
      <c r="T7" s="18"/>
      <c r="U7" s="18"/>
      <c r="V7" s="18"/>
    </row>
    <row r="8" spans="1:22" x14ac:dyDescent="0.25">
      <c r="A8" s="3">
        <v>43281</v>
      </c>
      <c r="B8" s="4">
        <v>4.4999999999999997E-3</v>
      </c>
      <c r="C8" s="4">
        <v>5.1000000000000004E-3</v>
      </c>
      <c r="D8" s="4"/>
      <c r="F8" s="17"/>
      <c r="G8" s="18"/>
      <c r="H8" s="18"/>
      <c r="I8" s="18"/>
      <c r="J8" s="18"/>
      <c r="K8" s="18"/>
      <c r="L8" s="18"/>
      <c r="M8" s="18"/>
      <c r="N8" s="18"/>
      <c r="O8" s="18"/>
      <c r="P8" s="18"/>
      <c r="Q8" s="18"/>
      <c r="R8" s="18"/>
      <c r="S8" s="18"/>
      <c r="T8" s="18"/>
      <c r="U8" s="18"/>
      <c r="V8" s="18"/>
    </row>
    <row r="9" spans="1:22" x14ac:dyDescent="0.25">
      <c r="A9" s="3">
        <v>43312</v>
      </c>
      <c r="B9" s="4">
        <v>1.66E-2</v>
      </c>
      <c r="C9" s="4">
        <v>1.66E-2</v>
      </c>
      <c r="D9" s="4"/>
      <c r="F9" s="18"/>
      <c r="G9" s="18"/>
      <c r="H9" s="18"/>
      <c r="I9" s="18"/>
      <c r="J9" s="18"/>
      <c r="K9" s="18"/>
      <c r="L9" s="18"/>
      <c r="M9" s="18"/>
      <c r="N9" s="18"/>
      <c r="O9" s="18"/>
      <c r="P9" s="18"/>
      <c r="Q9" s="18"/>
      <c r="R9" s="18"/>
      <c r="S9" s="18"/>
      <c r="T9" s="18"/>
      <c r="U9" s="18"/>
      <c r="V9" s="18"/>
    </row>
    <row r="10" spans="1:22" x14ac:dyDescent="0.25">
      <c r="A10" s="3">
        <v>43343</v>
      </c>
      <c r="B10" s="4">
        <v>-3.5000000000000001E-3</v>
      </c>
      <c r="C10" s="4">
        <v>-4.5999999999999999E-3</v>
      </c>
      <c r="D10" s="4"/>
      <c r="F10" s="18"/>
      <c r="G10" s="18"/>
      <c r="H10" s="18"/>
      <c r="I10" s="18"/>
      <c r="J10" s="18"/>
      <c r="K10" s="18"/>
      <c r="L10" s="18"/>
      <c r="M10" s="18"/>
      <c r="N10" s="18"/>
      <c r="O10" s="18"/>
      <c r="P10" s="18"/>
      <c r="Q10" s="18"/>
      <c r="R10" s="18"/>
      <c r="S10" s="18"/>
      <c r="T10" s="18"/>
      <c r="U10" s="18"/>
      <c r="V10" s="18"/>
    </row>
    <row r="11" spans="1:22" x14ac:dyDescent="0.25">
      <c r="A11" s="3">
        <v>43373</v>
      </c>
      <c r="B11" s="4">
        <v>5.0000000000000001E-3</v>
      </c>
      <c r="C11" s="4">
        <v>5.1000000000000004E-3</v>
      </c>
      <c r="D11" s="4"/>
      <c r="F11" s="18"/>
      <c r="G11" s="18"/>
      <c r="H11" s="18"/>
      <c r="I11" s="18"/>
      <c r="J11" s="18"/>
      <c r="K11" s="18"/>
      <c r="L11" s="18"/>
      <c r="M11" s="18"/>
      <c r="N11" s="18"/>
      <c r="O11" s="18"/>
      <c r="P11" s="18"/>
      <c r="Q11" s="18"/>
      <c r="R11" s="18"/>
      <c r="S11" s="18"/>
      <c r="T11" s="18"/>
      <c r="U11" s="18"/>
      <c r="V11" s="18"/>
    </row>
    <row r="12" spans="1:22" x14ac:dyDescent="0.25">
      <c r="A12" s="3">
        <v>43404</v>
      </c>
      <c r="B12" s="4">
        <v>8.0000000000000002E-3</v>
      </c>
      <c r="C12" s="4">
        <v>6.8999999999999999E-3</v>
      </c>
      <c r="D12" s="4"/>
      <c r="F12" s="18"/>
      <c r="G12" s="18"/>
      <c r="H12" s="18"/>
      <c r="I12" s="18"/>
      <c r="J12" s="18"/>
      <c r="K12" s="18"/>
      <c r="L12" s="18"/>
      <c r="M12" s="18"/>
      <c r="N12" s="18"/>
      <c r="O12" s="18"/>
      <c r="P12" s="18"/>
      <c r="Q12" s="18"/>
      <c r="R12" s="18"/>
      <c r="S12" s="18"/>
      <c r="T12" s="18"/>
      <c r="U12" s="18"/>
      <c r="V12" s="18"/>
    </row>
    <row r="13" spans="1:22" x14ac:dyDescent="0.25">
      <c r="A13" s="3">
        <v>43434</v>
      </c>
      <c r="B13" s="4">
        <v>0.01</v>
      </c>
      <c r="C13" s="4">
        <v>9.9000000000000008E-3</v>
      </c>
      <c r="D13" s="4"/>
    </row>
    <row r="14" spans="1:22" x14ac:dyDescent="0.25">
      <c r="A14" s="3">
        <v>43465</v>
      </c>
      <c r="B14" s="4">
        <v>3.2000000000000002E-3</v>
      </c>
      <c r="C14" s="4">
        <v>8.9999999999999998E-4</v>
      </c>
      <c r="D14" s="4"/>
    </row>
    <row r="15" spans="1:22" x14ac:dyDescent="0.25">
      <c r="A15" s="3">
        <v>43496</v>
      </c>
      <c r="B15" s="4">
        <v>1.2500000000000001E-2</v>
      </c>
      <c r="C15" s="4">
        <v>1.35E-2</v>
      </c>
      <c r="D15" s="4"/>
    </row>
    <row r="16" spans="1:22" x14ac:dyDescent="0.25">
      <c r="A16" s="3">
        <v>43524</v>
      </c>
      <c r="B16" s="4">
        <v>3.3999999999999998E-3</v>
      </c>
      <c r="C16" s="4">
        <v>5.7999999999999996E-3</v>
      </c>
      <c r="D16" s="4"/>
    </row>
    <row r="17" spans="1:4" x14ac:dyDescent="0.25">
      <c r="A17" s="3">
        <v>43555</v>
      </c>
      <c r="B17" s="4">
        <v>1.4500000000000001E-2</v>
      </c>
      <c r="C17" s="4">
        <v>1.49E-2</v>
      </c>
      <c r="D17" s="4"/>
    </row>
    <row r="18" spans="1:4" x14ac:dyDescent="0.25">
      <c r="A18" s="3">
        <v>43585</v>
      </c>
      <c r="B18" s="4">
        <v>1.4999999999999999E-2</v>
      </c>
      <c r="C18" s="4">
        <v>1.44E-2</v>
      </c>
      <c r="D18" s="4"/>
    </row>
    <row r="19" spans="1:4" x14ac:dyDescent="0.25">
      <c r="A19" s="3">
        <v>43616</v>
      </c>
      <c r="B19" s="4">
        <v>1.3299999999999999E-2</v>
      </c>
      <c r="C19" s="4">
        <v>1.2699999999999999E-2</v>
      </c>
      <c r="D19" s="4"/>
    </row>
    <row r="20" spans="1:4" x14ac:dyDescent="0.25">
      <c r="A20" s="3">
        <v>43646</v>
      </c>
      <c r="B20" s="4">
        <v>4.4999999999999997E-3</v>
      </c>
      <c r="C20" s="4">
        <v>5.1000000000000004E-3</v>
      </c>
      <c r="D20" s="4"/>
    </row>
    <row r="21" spans="1:4" x14ac:dyDescent="0.25">
      <c r="A21" s="3">
        <v>43677</v>
      </c>
      <c r="B21" s="4">
        <v>2.3E-3</v>
      </c>
      <c r="C21" s="4">
        <v>3.3999999999999998E-3</v>
      </c>
      <c r="D21" s="4"/>
    </row>
    <row r="22" spans="1:4" x14ac:dyDescent="0.25">
      <c r="A22" s="3">
        <v>43708</v>
      </c>
      <c r="B22" s="4">
        <v>-3.5000000000000001E-3</v>
      </c>
      <c r="C22" s="4">
        <v>-4.5999999999999999E-3</v>
      </c>
      <c r="D22" s="4"/>
    </row>
    <row r="23" spans="1:4" x14ac:dyDescent="0.25">
      <c r="A23" s="3">
        <v>43738</v>
      </c>
      <c r="B23" s="4">
        <v>7.7000000000000002E-3</v>
      </c>
      <c r="C23" s="4">
        <v>6.7000000000000002E-3</v>
      </c>
      <c r="D23" s="4"/>
    </row>
    <row r="24" spans="1:4" x14ac:dyDescent="0.25">
      <c r="A24" s="3">
        <v>43769</v>
      </c>
      <c r="B24" s="4">
        <v>9.7999999999999997E-3</v>
      </c>
      <c r="C24" s="4">
        <v>1.4500000000000001E-2</v>
      </c>
      <c r="D24" s="4"/>
    </row>
    <row r="25" spans="1:4" x14ac:dyDescent="0.25">
      <c r="A25" s="3">
        <v>43799</v>
      </c>
      <c r="B25" s="4">
        <v>8.2000000000000007E-3</v>
      </c>
      <c r="C25" s="4">
        <v>7.9000000000000008E-3</v>
      </c>
      <c r="D25" s="4"/>
    </row>
    <row r="26" spans="1:4" x14ac:dyDescent="0.25">
      <c r="A26" s="3">
        <v>43830</v>
      </c>
      <c r="B26" s="4">
        <v>-5.4000000000000003E-3</v>
      </c>
      <c r="C26" s="4">
        <v>-8.0000000000000004E-4</v>
      </c>
      <c r="D26" s="4"/>
    </row>
    <row r="27" spans="1:4" x14ac:dyDescent="0.25">
      <c r="A27" s="3">
        <v>43861</v>
      </c>
      <c r="B27" s="4">
        <v>1.15E-2</v>
      </c>
      <c r="C27" s="4">
        <v>1.15E-2</v>
      </c>
      <c r="D27" s="4"/>
    </row>
    <row r="28" spans="1:4" x14ac:dyDescent="0.25">
      <c r="A28" s="3">
        <v>43890</v>
      </c>
      <c r="B28" s="4">
        <v>-1.34E-2</v>
      </c>
      <c r="C28" s="4">
        <v>-1.4800000000000001E-2</v>
      </c>
      <c r="D28" s="4"/>
    </row>
    <row r="29" spans="1:4" x14ac:dyDescent="0.25">
      <c r="A29" s="3">
        <v>43921</v>
      </c>
      <c r="B29" s="4">
        <v>-1.35E-2</v>
      </c>
      <c r="C29" s="4">
        <v>-1.3899999999999999E-2</v>
      </c>
      <c r="D29" s="4"/>
    </row>
    <row r="30" spans="1:4" x14ac:dyDescent="0.25">
      <c r="A30" s="3">
        <v>43951</v>
      </c>
      <c r="B30" s="4">
        <v>1.6199999999999999E-2</v>
      </c>
      <c r="C30" s="4">
        <v>1.54E-2</v>
      </c>
      <c r="D30" s="4"/>
    </row>
    <row r="31" spans="1:4" x14ac:dyDescent="0.25">
      <c r="A31" s="3">
        <v>43982</v>
      </c>
      <c r="B31" s="4">
        <v>5.0000000000000001E-3</v>
      </c>
      <c r="C31" s="4">
        <v>5.4999999999999997E-3</v>
      </c>
      <c r="D31" s="4"/>
    </row>
    <row r="32" spans="1:4" x14ac:dyDescent="0.25">
      <c r="A32" s="3">
        <v>44012</v>
      </c>
      <c r="B32" s="4">
        <v>-4.4999999999999997E-3</v>
      </c>
      <c r="C32" s="4">
        <v>-5.1000000000000004E-3</v>
      </c>
      <c r="D32" s="4"/>
    </row>
    <row r="33" spans="1:4" x14ac:dyDescent="0.25">
      <c r="A33" s="3">
        <v>44043</v>
      </c>
      <c r="B33" s="4">
        <v>1.6999999999999999E-3</v>
      </c>
      <c r="C33" s="4">
        <v>2.3999999999999998E-3</v>
      </c>
      <c r="D33" s="4"/>
    </row>
    <row r="34" spans="1:4" x14ac:dyDescent="0.25">
      <c r="A34" s="3">
        <v>44074</v>
      </c>
      <c r="B34" s="4">
        <v>-3.5000000000000001E-3</v>
      </c>
      <c r="C34" s="4">
        <v>-4.5999999999999999E-3</v>
      </c>
      <c r="D34" s="4"/>
    </row>
    <row r="35" spans="1:4" x14ac:dyDescent="0.25">
      <c r="A35" s="3">
        <v>44104</v>
      </c>
      <c r="B35" s="4">
        <v>7.7000000000000002E-3</v>
      </c>
      <c r="C35" s="4">
        <v>6.7000000000000002E-3</v>
      </c>
      <c r="D35" s="4"/>
    </row>
    <row r="36" spans="1:4" x14ac:dyDescent="0.25">
      <c r="A36" s="3">
        <v>44135</v>
      </c>
      <c r="B36" s="4">
        <v>1.3299999999999999E-2</v>
      </c>
      <c r="C36" s="4">
        <v>1.4500000000000001E-2</v>
      </c>
      <c r="D36" s="4"/>
    </row>
    <row r="37" spans="1:4" x14ac:dyDescent="0.25">
      <c r="A37" s="3">
        <v>44165</v>
      </c>
      <c r="B37" s="4">
        <v>8.9999999999999993E-3</v>
      </c>
      <c r="C37" s="4">
        <v>1.0699999999999999E-2</v>
      </c>
      <c r="D37" s="4"/>
    </row>
    <row r="38" spans="1:4" x14ac:dyDescent="0.25">
      <c r="A38" s="3">
        <v>44196</v>
      </c>
      <c r="B38" s="4">
        <v>-2.0999999999999999E-3</v>
      </c>
      <c r="C38" s="4">
        <v>-1.8E-3</v>
      </c>
      <c r="D38" s="4"/>
    </row>
  </sheetData>
  <mergeCells count="1">
    <mergeCell ref="F1:G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35A22-109D-4319-AF96-B18932B76256}">
  <dimension ref="A1:Q20"/>
  <sheetViews>
    <sheetView workbookViewId="0">
      <selection activeCell="J6" sqref="J6:Q7"/>
    </sheetView>
  </sheetViews>
  <sheetFormatPr defaultRowHeight="15" x14ac:dyDescent="0.25"/>
  <cols>
    <col min="1" max="1" width="17.85546875" bestFit="1" customWidth="1"/>
    <col min="2" max="2" width="12.140625" bestFit="1" customWidth="1"/>
  </cols>
  <sheetData>
    <row r="1" spans="1:17" x14ac:dyDescent="0.25">
      <c r="A1" s="6" t="s">
        <v>18</v>
      </c>
    </row>
    <row r="2" spans="1:17" x14ac:dyDescent="0.25">
      <c r="A2" s="6"/>
    </row>
    <row r="3" spans="1:17" x14ac:dyDescent="0.25">
      <c r="A3" s="6" t="s">
        <v>19</v>
      </c>
    </row>
    <row r="4" spans="1:17" x14ac:dyDescent="0.25">
      <c r="A4" s="6" t="s">
        <v>20</v>
      </c>
    </row>
    <row r="5" spans="1:17" x14ac:dyDescent="0.25">
      <c r="A5" s="6" t="s">
        <v>21</v>
      </c>
    </row>
    <row r="6" spans="1:17" ht="18" x14ac:dyDescent="0.35">
      <c r="A6" s="15" t="s">
        <v>29</v>
      </c>
      <c r="B6" s="16"/>
      <c r="C6" s="16"/>
      <c r="J6" s="17"/>
      <c r="K6" s="18"/>
      <c r="L6" s="18"/>
      <c r="M6" s="18"/>
      <c r="N6" s="18"/>
      <c r="O6" s="18"/>
      <c r="P6" s="18"/>
      <c r="Q6" s="18"/>
    </row>
    <row r="7" spans="1:17" x14ac:dyDescent="0.25">
      <c r="A7" s="6"/>
      <c r="J7" s="18"/>
      <c r="K7" s="18"/>
      <c r="L7" s="18"/>
      <c r="M7" s="18"/>
      <c r="N7" s="18"/>
      <c r="O7" s="18"/>
      <c r="P7" s="18"/>
      <c r="Q7" s="18"/>
    </row>
    <row r="8" spans="1:17" ht="18" x14ac:dyDescent="0.35">
      <c r="A8" s="15" t="s">
        <v>30</v>
      </c>
      <c r="B8" s="16"/>
      <c r="C8" s="16"/>
      <c r="D8" s="16"/>
      <c r="E8" s="16"/>
    </row>
    <row r="9" spans="1:17" x14ac:dyDescent="0.25">
      <c r="A9" s="6" t="s">
        <v>22</v>
      </c>
    </row>
    <row r="10" spans="1:17" x14ac:dyDescent="0.25">
      <c r="A10" s="6"/>
    </row>
    <row r="12" spans="1:17" x14ac:dyDescent="0.25">
      <c r="B12" t="s">
        <v>8</v>
      </c>
      <c r="C12" t="s">
        <v>23</v>
      </c>
    </row>
    <row r="13" spans="1:17" x14ac:dyDescent="0.25">
      <c r="A13">
        <v>2015</v>
      </c>
      <c r="B13" s="8">
        <v>2.3E-2</v>
      </c>
      <c r="C13" s="9">
        <f>(1+B13)</f>
        <v>1.0229999999999999</v>
      </c>
    </row>
    <row r="14" spans="1:17" x14ac:dyDescent="0.25">
      <c r="A14">
        <v>2016</v>
      </c>
      <c r="B14" s="8">
        <v>-4.7E-2</v>
      </c>
      <c r="C14" s="9">
        <f>(1+B14)</f>
        <v>0.95299999999999996</v>
      </c>
    </row>
    <row r="15" spans="1:17" x14ac:dyDescent="0.25">
      <c r="A15">
        <v>2017</v>
      </c>
      <c r="B15" s="8">
        <v>6.9000000000000006E-2</v>
      </c>
      <c r="C15" s="9">
        <f t="shared" ref="C15:C18" si="0">(1+B15)</f>
        <v>1.069</v>
      </c>
    </row>
    <row r="16" spans="1:17" x14ac:dyDescent="0.25">
      <c r="A16">
        <v>2018</v>
      </c>
      <c r="B16" s="8">
        <v>3.2000000000000001E-2</v>
      </c>
      <c r="C16" s="9">
        <f t="shared" si="0"/>
        <v>1.032</v>
      </c>
    </row>
    <row r="17" spans="1:4" x14ac:dyDescent="0.25">
      <c r="A17">
        <v>2019</v>
      </c>
      <c r="B17" s="8">
        <v>8.9999999999999993E-3</v>
      </c>
      <c r="C17" s="9">
        <f t="shared" si="0"/>
        <v>1.0089999999999999</v>
      </c>
    </row>
    <row r="18" spans="1:4" x14ac:dyDescent="0.25">
      <c r="A18" t="s">
        <v>7</v>
      </c>
      <c r="B18" s="8">
        <v>-3.1E-2</v>
      </c>
      <c r="C18" s="9">
        <f t="shared" si="0"/>
        <v>0.96899999999999997</v>
      </c>
    </row>
    <row r="20" spans="1:4" x14ac:dyDescent="0.25">
      <c r="A20" t="s">
        <v>9</v>
      </c>
      <c r="C20" s="10">
        <f>C13*C14*C15*C16*C17*C18-1</f>
        <v>5.1576519243853092E-2</v>
      </c>
      <c r="D20" s="10" t="s">
        <v>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B7397-B5DB-420B-A64F-4E7FC11FD351}">
  <dimension ref="A1:D28"/>
  <sheetViews>
    <sheetView workbookViewId="0">
      <selection activeCell="B18" sqref="B18"/>
    </sheetView>
  </sheetViews>
  <sheetFormatPr defaultRowHeight="15" x14ac:dyDescent="0.25"/>
  <cols>
    <col min="1" max="1" width="26.140625" customWidth="1"/>
  </cols>
  <sheetData>
    <row r="1" spans="1:3" x14ac:dyDescent="0.25">
      <c r="A1" s="6" t="s">
        <v>25</v>
      </c>
    </row>
    <row r="3" spans="1:3" x14ac:dyDescent="0.25">
      <c r="A3" s="6" t="s">
        <v>26</v>
      </c>
    </row>
    <row r="4" spans="1:3" ht="17.25" x14ac:dyDescent="0.25">
      <c r="A4" s="6" t="s">
        <v>28</v>
      </c>
    </row>
    <row r="5" spans="1:3" x14ac:dyDescent="0.25">
      <c r="A5" s="6" t="s">
        <v>27</v>
      </c>
    </row>
    <row r="8" spans="1:3" x14ac:dyDescent="0.25">
      <c r="A8" t="s">
        <v>17</v>
      </c>
    </row>
    <row r="9" spans="1:3" x14ac:dyDescent="0.25">
      <c r="A9" t="s">
        <v>10</v>
      </c>
    </row>
    <row r="11" spans="1:3" x14ac:dyDescent="0.25">
      <c r="A11" t="s">
        <v>12</v>
      </c>
      <c r="B11" s="11">
        <f>(1+1.5)^(1/5)-1</f>
        <v>0.20112443398143132</v>
      </c>
      <c r="C11" s="11" t="s">
        <v>11</v>
      </c>
    </row>
    <row r="14" spans="1:3" x14ac:dyDescent="0.25">
      <c r="A14" t="s">
        <v>13</v>
      </c>
    </row>
    <row r="15" spans="1:3" x14ac:dyDescent="0.25">
      <c r="A15" t="s">
        <v>14</v>
      </c>
    </row>
    <row r="17" spans="1:4" x14ac:dyDescent="0.25">
      <c r="A17" t="s">
        <v>15</v>
      </c>
      <c r="B17" s="11">
        <f>(1+1.5)^(1/12.5)-1</f>
        <v>7.6056810867628721E-2</v>
      </c>
      <c r="C17" s="11" t="s">
        <v>16</v>
      </c>
    </row>
    <row r="26" spans="1:4" x14ac:dyDescent="0.25">
      <c r="C26" s="12"/>
      <c r="D26" s="12"/>
    </row>
    <row r="27" spans="1:4" x14ac:dyDescent="0.25">
      <c r="C27" s="4"/>
      <c r="D27" s="4"/>
    </row>
    <row r="28" spans="1:4" x14ac:dyDescent="0.25">
      <c r="C28" s="4"/>
      <c r="D28"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DA79330DDB39949977C72F7893FE59B" ma:contentTypeVersion="9" ma:contentTypeDescription="Create a new document." ma:contentTypeScope="" ma:versionID="dceaec0ec740acefe47891f635e258fa">
  <xsd:schema xmlns:xsd="http://www.w3.org/2001/XMLSchema" xmlns:xs="http://www.w3.org/2001/XMLSchema" xmlns:p="http://schemas.microsoft.com/office/2006/metadata/properties" xmlns:ns3="18928e69-a32f-4899-b47e-0f4d606b2ec4" targetNamespace="http://schemas.microsoft.com/office/2006/metadata/properties" ma:root="true" ma:fieldsID="13a6db698bcc34ed16b9d8eac4713268" ns3:_="">
    <xsd:import namespace="18928e69-a32f-4899-b47e-0f4d606b2ec4"/>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8928e69-a32f-4899-b47e-0f4d606b2e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A9286F-8BDC-494E-835E-8B3BC2C1F56E}">
  <ds:schemaRefs>
    <ds:schemaRef ds:uri="http://schemas.microsoft.com/office/infopath/2007/PartnerControls"/>
    <ds:schemaRef ds:uri="http://purl.org/dc/terms/"/>
    <ds:schemaRef ds:uri="http://schemas.microsoft.com/office/2006/documentManagement/types"/>
    <ds:schemaRef ds:uri="http://purl.org/dc/elements/1.1/"/>
    <ds:schemaRef ds:uri="http://schemas.openxmlformats.org/package/2006/metadata/core-properties"/>
    <ds:schemaRef ds:uri="18928e69-a32f-4899-b47e-0f4d606b2ec4"/>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C97139CA-48FC-46B3-8EB3-BF60DD5245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8928e69-a32f-4899-b47e-0f4d606b2e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226E6AB-737D-4A64-A345-9B7AE93062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PLEASE READ</vt:lpstr>
      <vt:lpstr>6.A.1.h, 3-yr ex post std dev</vt:lpstr>
      <vt:lpstr>6.B.2.a</vt:lpstr>
      <vt:lpstr>6.B.2.c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Terris</dc:creator>
  <cp:lastModifiedBy>Karyn Vincent</cp:lastModifiedBy>
  <cp:lastPrinted>2020-02-06T19:58:28Z</cp:lastPrinted>
  <dcterms:created xsi:type="dcterms:W3CDTF">2019-12-27T21:17:58Z</dcterms:created>
  <dcterms:modified xsi:type="dcterms:W3CDTF">2020-06-08T23:21:57Z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0x0101001DA79330DDB39949977C72F7893FE59B</vt:lpwstr>
  </property>
</Properties>
</file>