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C:\Users\rlw\Desktop\"/>
    </mc:Choice>
  </mc:AlternateContent>
  <xr:revisionPtr revIDLastSave="0" documentId="8_{5756A42A-8F5C-4BF7-AEB5-290E8F4D3058}" xr6:coauthVersionLast="36" xr6:coauthVersionMax="36" xr10:uidLastSave="{00000000-0000-0000-0000-000000000000}"/>
  <bookViews>
    <workbookView xWindow="-120" yWindow="-120" windowWidth="20736" windowHeight="11160" xr2:uid="{4E4C2E5A-3FF8-490F-9115-55746E69B819}"/>
  </bookViews>
  <sheets>
    <sheet name="PLEASE READ" sheetId="4" r:id="rId1"/>
    <sheet name="4.A.1.i" sheetId="3" r:id="rId2"/>
    <sheet name="4.A.1.j, 3-yr ex post std dev"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 i="1" l="1"/>
  <c r="F4" i="1" l="1"/>
  <c r="G4" i="1"/>
  <c r="G3" i="1"/>
  <c r="D26" i="3" l="1"/>
  <c r="D25" i="3"/>
  <c r="D23" i="3"/>
  <c r="D22" i="3"/>
  <c r="D17" i="3"/>
  <c r="D16" i="3"/>
  <c r="B13" i="3"/>
  <c r="D9" i="3" s="1"/>
  <c r="D6" i="3"/>
  <c r="D5" i="3"/>
  <c r="E5" i="3" s="1"/>
  <c r="F9" i="3" l="1"/>
  <c r="G9" i="3" s="1"/>
  <c r="F3" i="3"/>
  <c r="G3" i="3" s="1"/>
  <c r="F10" i="3"/>
  <c r="G10" i="3" s="1"/>
  <c r="F11" i="3"/>
  <c r="G11" i="3" s="1"/>
  <c r="F2" i="3"/>
  <c r="G2" i="3" s="1"/>
  <c r="F5" i="3"/>
  <c r="G5" i="3" s="1"/>
  <c r="F6" i="3"/>
  <c r="G6" i="3" s="1"/>
  <c r="F8" i="3"/>
  <c r="G8" i="3" s="1"/>
  <c r="F4" i="3"/>
  <c r="G4" i="3" s="1"/>
  <c r="F7" i="3"/>
  <c r="G7" i="3" s="1"/>
  <c r="D24" i="3"/>
  <c r="D27" i="3"/>
  <c r="D3" i="3"/>
  <c r="D10" i="3"/>
  <c r="E10" i="3" s="1"/>
  <c r="D11" i="3"/>
  <c r="E11" i="3" s="1"/>
  <c r="D4" i="3"/>
  <c r="E4" i="3" s="1"/>
  <c r="D7" i="3"/>
  <c r="E7" i="3" s="1"/>
  <c r="D8" i="3"/>
  <c r="E8" i="3" s="1"/>
  <c r="D2" i="3"/>
  <c r="E2" i="3" s="1"/>
  <c r="E9" i="3"/>
  <c r="E6" i="3"/>
  <c r="E3" i="3"/>
  <c r="D18" i="3" l="1"/>
  <c r="D20" i="3" s="1"/>
  <c r="D13" i="3"/>
  <c r="E13" i="3"/>
  <c r="D15" i="3" l="1"/>
  <c r="H3" i="3"/>
  <c r="I3" i="3" s="1"/>
  <c r="J3" i="3" s="1"/>
  <c r="H11" i="3"/>
  <c r="I11" i="3" s="1"/>
  <c r="J11" i="3" s="1"/>
  <c r="H9" i="3"/>
  <c r="I9" i="3" s="1"/>
  <c r="J9" i="3" s="1"/>
  <c r="H4" i="3"/>
  <c r="I4" i="3" s="1"/>
  <c r="J4" i="3" s="1"/>
  <c r="H2" i="3"/>
  <c r="I2" i="3" s="1"/>
  <c r="H5" i="3"/>
  <c r="I5" i="3" s="1"/>
  <c r="J5" i="3" s="1"/>
  <c r="H6" i="3"/>
  <c r="I6" i="3" s="1"/>
  <c r="J6" i="3" s="1"/>
  <c r="H8" i="3"/>
  <c r="I8" i="3" s="1"/>
  <c r="J8" i="3" s="1"/>
  <c r="H10" i="3"/>
  <c r="I10" i="3" s="1"/>
  <c r="J10" i="3" s="1"/>
  <c r="H7" i="3"/>
  <c r="I7" i="3" s="1"/>
  <c r="J7" i="3" s="1"/>
  <c r="D19" i="3" l="1"/>
  <c r="J2" i="3"/>
  <c r="J13" i="3" s="1"/>
  <c r="D21" i="3" s="1"/>
</calcChain>
</file>

<file path=xl/sharedStrings.xml><?xml version="1.0" encoding="utf-8"?>
<sst xmlns="http://schemas.openxmlformats.org/spreadsheetml/2006/main" count="57" uniqueCount="56">
  <si>
    <t>Monthly</t>
  </si>
  <si>
    <t>3-Yr Ex-Post Std Dev</t>
  </si>
  <si>
    <t>Composite Net Return</t>
  </si>
  <si>
    <t>Benchmark Return</t>
  </si>
  <si>
    <t>Index</t>
  </si>
  <si>
    <t>&lt;-Using STDEVP Excel function</t>
  </si>
  <si>
    <t>&lt;-Using STDEV Excel function</t>
  </si>
  <si>
    <t>Composite</t>
  </si>
  <si>
    <t>Portfolio</t>
  </si>
  <si>
    <t>Annual Return</t>
  </si>
  <si>
    <t>Asset Weighted Mean</t>
  </si>
  <si>
    <t>Weight (BMV)</t>
  </si>
  <si>
    <t>BMV</t>
  </si>
  <si>
    <t>Contribution (BMV)</t>
  </si>
  <si>
    <t>Weighted Squared Difference</t>
  </si>
  <si>
    <t>Count of Portfolios</t>
  </si>
  <si>
    <t>Equal Weighted Standard Deviation</t>
  </si>
  <si>
    <t>=AVERAGE(C2:C11)</t>
  </si>
  <si>
    <t>=COUNT(C2:C11)</t>
  </si>
  <si>
    <t>=SQRT(D18/D17)</t>
  </si>
  <si>
    <t>=SUM(G2:G11)</t>
  </si>
  <si>
    <t>=B11/$B$13</t>
  </si>
  <si>
    <t>=F11^2</t>
  </si>
  <si>
    <t>High</t>
  </si>
  <si>
    <t>Low</t>
  </si>
  <si>
    <t>Range</t>
  </si>
  <si>
    <t>=MAX(C2:C11)</t>
  </si>
  <si>
    <t>=MIN(C2:C11)</t>
  </si>
  <si>
    <t>Asset Weighted Standard Deviation</t>
  </si>
  <si>
    <t>First Quartile Return</t>
  </si>
  <si>
    <t>Third Quartile Return</t>
  </si>
  <si>
    <t>Interquartile Range</t>
  </si>
  <si>
    <t>=QUARTILE(C2:C11,3)</t>
  </si>
  <si>
    <t>=QUARTILE(C2:C11,1)</t>
  </si>
  <si>
    <t>Difference to Asset Weighted Mean</t>
  </si>
  <si>
    <t>=E13</t>
  </si>
  <si>
    <t>Sum (Portfolios 1 -10)</t>
  </si>
  <si>
    <t>=C11*D11</t>
  </si>
  <si>
    <t>Difference to Equal Weighted Mean</t>
  </si>
  <si>
    <t>Sum of Squared Differences (to asset weighted mean)</t>
  </si>
  <si>
    <t>Squared Difference (asset weighted mean)</t>
  </si>
  <si>
    <t>Squared Difference (equal weighted mean)</t>
  </si>
  <si>
    <t>Sum of Squared Differences (to equal weighted mean)</t>
  </si>
  <si>
    <t>=SUM(I2:I11)</t>
  </si>
  <si>
    <t>=SQRT(J13)</t>
  </si>
  <si>
    <t>=D22-D23</t>
  </si>
  <si>
    <t>=D25-D26</t>
  </si>
  <si>
    <t>=H11^2</t>
  </si>
  <si>
    <t>=D11*I11</t>
  </si>
  <si>
    <t>=(C11-$E$13)</t>
  </si>
  <si>
    <t>=(C11-$D$16)</t>
  </si>
  <si>
    <t>Sample formulas for portfolio 10</t>
  </si>
  <si>
    <t>Equal Weighted Mean</t>
  </si>
  <si>
    <t>The content in this spreadsheet is for informational purposes only. You should not construe any such information or other material as legal, tax, investment, financial, or other advice. You alone assume the sole responsibility of evaluating the merits and risks associated with the use of any information or other Content on the Site before making any decisions based on such information or other Content. You agree not to hold CFA Institute or its subsidiaries liable for any possible claim arising from any decision you make based on information or content made available to you through this spreadsheet.</t>
  </si>
  <si>
    <t>(Calculate the standard deviation based on a sample)</t>
  </si>
  <si>
    <t>(Calculate the standard deviation based on the population)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</si>
</sst>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0.0%"/>
    <numFmt numFmtId="166" formatCode="0.00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s>
  <fills count="2">
    <fill>
      <patternFill patternType="none"/>
    </fill>
    <fill>
      <patternFill patternType="gray125"/>
    </fill>
  </fills>
  <borders count="1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50">
    <xf numFmtId="0" fontId="0" fillId="0" borderId="0" xfId="0"/>
    <xf numFmtId="0" fontId="2" fillId="0" borderId="3" xfId="0" applyFont="1" applyBorder="1" applyAlignment="1">
      <alignment wrapText="1"/>
    </xf>
    <xf numFmtId="0" fontId="2" fillId="0" borderId="3" xfId="0" applyFont="1" applyBorder="1" applyAlignment="1">
      <alignment horizontal="center"/>
    </xf>
    <xf numFmtId="14" fontId="0" fillId="0" borderId="0" xfId="0" applyNumberFormat="1"/>
    <xf numFmtId="10" fontId="0" fillId="0" borderId="0" xfId="1" applyNumberFormat="1" applyFont="1"/>
    <xf numFmtId="10" fontId="0" fillId="0" borderId="3" xfId="1" applyNumberFormat="1" applyFont="1" applyBorder="1"/>
    <xf numFmtId="0" fontId="2" fillId="0" borderId="0" xfId="0" applyFont="1"/>
    <xf numFmtId="0" fontId="0" fillId="0" borderId="4" xfId="0" applyBorder="1" applyAlignment="1">
      <alignment horizontal="center"/>
    </xf>
    <xf numFmtId="0" fontId="0" fillId="0" borderId="5" xfId="0" applyBorder="1" applyAlignment="1">
      <alignment horizontal="center" wrapText="1"/>
    </xf>
    <xf numFmtId="0" fontId="0" fillId="0" borderId="6" xfId="0" applyBorder="1" applyAlignment="1">
      <alignment horizontal="center" wrapText="1"/>
    </xf>
    <xf numFmtId="0" fontId="0" fillId="0" borderId="7" xfId="0" applyBorder="1" applyAlignment="1">
      <alignment horizontal="center"/>
    </xf>
    <xf numFmtId="164" fontId="0" fillId="0" borderId="0" xfId="2" applyNumberFormat="1" applyFont="1" applyBorder="1" applyAlignment="1">
      <alignment horizontal="center"/>
    </xf>
    <xf numFmtId="165" fontId="0" fillId="0" borderId="0" xfId="1" applyNumberFormat="1" applyFont="1" applyBorder="1" applyAlignment="1">
      <alignment horizontal="center"/>
    </xf>
    <xf numFmtId="10" fontId="0" fillId="0" borderId="0" xfId="1" applyNumberFormat="1" applyFont="1" applyBorder="1" applyAlignment="1">
      <alignment horizontal="center"/>
    </xf>
    <xf numFmtId="10" fontId="0" fillId="0" borderId="0" xfId="0" applyNumberFormat="1" applyBorder="1" applyAlignment="1">
      <alignment horizontal="center"/>
    </xf>
    <xf numFmtId="43" fontId="0" fillId="0" borderId="0" xfId="0" applyNumberFormat="1" applyBorder="1" applyAlignment="1">
      <alignment horizontal="center"/>
    </xf>
    <xf numFmtId="0" fontId="0" fillId="0" borderId="0" xfId="0" applyBorder="1" applyAlignment="1">
      <alignment horizontal="center"/>
    </xf>
    <xf numFmtId="0" fontId="0" fillId="0" borderId="7" xfId="0" applyBorder="1"/>
    <xf numFmtId="0" fontId="0" fillId="0" borderId="0" xfId="0" applyBorder="1"/>
    <xf numFmtId="0" fontId="0" fillId="0" borderId="8" xfId="0" applyBorder="1"/>
    <xf numFmtId="0" fontId="0" fillId="0" borderId="0" xfId="0" applyBorder="1" applyAlignment="1">
      <alignment horizontal="right"/>
    </xf>
    <xf numFmtId="0" fontId="0" fillId="0" borderId="0" xfId="0" quotePrefix="1" applyBorder="1" applyAlignment="1">
      <alignment horizontal="center"/>
    </xf>
    <xf numFmtId="43" fontId="0" fillId="0" borderId="0" xfId="0" quotePrefix="1" applyNumberFormat="1" applyBorder="1" applyAlignment="1">
      <alignment horizontal="center"/>
    </xf>
    <xf numFmtId="43" fontId="0" fillId="0" borderId="0" xfId="2" quotePrefix="1" applyFont="1" applyBorder="1" applyAlignment="1">
      <alignment horizontal="center"/>
    </xf>
    <xf numFmtId="0" fontId="0" fillId="0" borderId="9" xfId="0" applyBorder="1"/>
    <xf numFmtId="0" fontId="0" fillId="0" borderId="10" xfId="0" applyBorder="1"/>
    <xf numFmtId="0" fontId="0" fillId="0" borderId="11" xfId="0" applyBorder="1"/>
    <xf numFmtId="0" fontId="0" fillId="0" borderId="8" xfId="0" quotePrefix="1" applyBorder="1" applyAlignment="1">
      <alignment horizontal="center"/>
    </xf>
    <xf numFmtId="0" fontId="0" fillId="0" borderId="0" xfId="0" applyFill="1" applyBorder="1" applyAlignment="1">
      <alignment horizontal="right"/>
    </xf>
    <xf numFmtId="0" fontId="0" fillId="0" borderId="10" xfId="0" applyFill="1" applyBorder="1" applyAlignment="1">
      <alignment horizontal="right"/>
    </xf>
    <xf numFmtId="165" fontId="0" fillId="0" borderId="0" xfId="0" applyNumberFormat="1" applyBorder="1"/>
    <xf numFmtId="165" fontId="0" fillId="0" borderId="0" xfId="0" quotePrefix="1" applyNumberFormat="1" applyBorder="1"/>
    <xf numFmtId="165" fontId="0" fillId="0" borderId="10" xfId="0" quotePrefix="1" applyNumberFormat="1" applyBorder="1"/>
    <xf numFmtId="164" fontId="0" fillId="0" borderId="0" xfId="0" applyNumberFormat="1" applyBorder="1" applyAlignment="1">
      <alignment horizontal="center"/>
    </xf>
    <xf numFmtId="10" fontId="0" fillId="0" borderId="0" xfId="0" quotePrefix="1" applyNumberFormat="1" applyBorder="1" applyAlignment="1">
      <alignment horizontal="left"/>
    </xf>
    <xf numFmtId="0" fontId="0" fillId="0" borderId="0" xfId="0" quotePrefix="1" applyBorder="1" applyAlignment="1">
      <alignment horizontal="left"/>
    </xf>
    <xf numFmtId="10" fontId="0" fillId="0" borderId="0" xfId="0" applyNumberFormat="1" applyBorder="1"/>
    <xf numFmtId="10" fontId="0" fillId="0" borderId="0" xfId="0" quotePrefix="1" applyNumberFormat="1" applyBorder="1"/>
    <xf numFmtId="43" fontId="0" fillId="0" borderId="0" xfId="2" quotePrefix="1" applyFont="1" applyBorder="1"/>
    <xf numFmtId="43" fontId="0" fillId="0" borderId="0" xfId="2" quotePrefix="1" applyFont="1" applyBorder="1" applyAlignment="1">
      <alignment horizontal="left"/>
    </xf>
    <xf numFmtId="10" fontId="0" fillId="0" borderId="0" xfId="2" applyNumberFormat="1" applyFont="1" applyBorder="1" applyAlignment="1">
      <alignment horizontal="center"/>
    </xf>
    <xf numFmtId="166" fontId="0" fillId="0" borderId="0" xfId="1" applyNumberFormat="1" applyFont="1" applyBorder="1" applyAlignment="1">
      <alignment horizontal="center"/>
    </xf>
    <xf numFmtId="166" fontId="0" fillId="0" borderId="8" xfId="1" applyNumberFormat="1" applyFont="1" applyBorder="1" applyAlignment="1">
      <alignment horizontal="center"/>
    </xf>
    <xf numFmtId="166" fontId="0" fillId="0" borderId="0" xfId="1" quotePrefix="1" applyNumberFormat="1" applyFont="1" applyBorder="1" applyAlignment="1">
      <alignment horizontal="right"/>
    </xf>
    <xf numFmtId="0" fontId="0" fillId="0" borderId="7" xfId="0" applyBorder="1" applyAlignment="1">
      <alignment horizontal="left"/>
    </xf>
    <xf numFmtId="0" fontId="0" fillId="0" borderId="7" xfId="0" applyBorder="1" applyAlignment="1">
      <alignment horizontal="left" wrapText="1"/>
    </xf>
    <xf numFmtId="166" fontId="0" fillId="0" borderId="0" xfId="1" applyNumberFormat="1" applyFont="1" applyFill="1" applyBorder="1" applyAlignment="1">
      <alignment horizontal="right"/>
    </xf>
    <xf numFmtId="0" fontId="3" fillId="0" borderId="0" xfId="0" applyFont="1" applyAlignment="1">
      <alignment vertical="center" wrapText="1"/>
    </xf>
    <xf numFmtId="0" fontId="2" fillId="0" borderId="1" xfId="0" applyFont="1" applyBorder="1" applyAlignment="1">
      <alignment horizontal="center" wrapText="1"/>
    </xf>
    <xf numFmtId="0" fontId="2" fillId="0" borderId="2" xfId="0" applyFont="1" applyBorder="1" applyAlignment="1">
      <alignment horizontal="center" wrapText="1"/>
    </xf>
  </cellXfs>
  <cellStyles count="3">
    <cellStyle name="Comma" xfId="2" builtinId="3"/>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B3FB2-AD6C-4800-B236-46B7F0D70929}">
  <dimension ref="A1"/>
  <sheetViews>
    <sheetView tabSelected="1" workbookViewId="0">
      <selection activeCell="B3" sqref="B3"/>
    </sheetView>
  </sheetViews>
  <sheetFormatPr defaultRowHeight="14.4" x14ac:dyDescent="0.3"/>
  <cols>
    <col min="1" max="1" width="101.109375" customWidth="1"/>
  </cols>
  <sheetData>
    <row r="1" spans="1:1" ht="126" x14ac:dyDescent="0.3">
      <c r="A1" s="47" t="s">
        <v>53</v>
      </c>
    </row>
  </sheetData>
  <sheetProtection algorithmName="SHA-512" hashValue="+r9Uv0C3/ViEjCn4PWH+hzeGwm5hUoMdv6/8/L/87KdADKDiAJJaQ2jUFNk0l2ZYqpHtE8rPEsiVrgL1t99QNw==" saltValue="SFqMR1m78irZ7g++Xrprn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8185E-F197-4023-AA77-60BD9C91A0F8}">
  <sheetPr>
    <pageSetUpPr fitToPage="1"/>
  </sheetPr>
  <dimension ref="A1:J27"/>
  <sheetViews>
    <sheetView topLeftCell="A16" workbookViewId="0">
      <selection activeCell="C32" sqref="C32"/>
    </sheetView>
  </sheetViews>
  <sheetFormatPr defaultRowHeight="14.4" x14ac:dyDescent="0.3"/>
  <cols>
    <col min="1" max="1" width="20" customWidth="1"/>
    <col min="2" max="10" width="15.6640625" customWidth="1"/>
  </cols>
  <sheetData>
    <row r="1" spans="1:10" ht="60.75" customHeight="1" x14ac:dyDescent="0.3">
      <c r="A1" s="7" t="s">
        <v>8</v>
      </c>
      <c r="B1" s="8" t="s">
        <v>12</v>
      </c>
      <c r="C1" s="8" t="s">
        <v>9</v>
      </c>
      <c r="D1" s="8" t="s">
        <v>11</v>
      </c>
      <c r="E1" s="8" t="s">
        <v>13</v>
      </c>
      <c r="F1" s="8" t="s">
        <v>38</v>
      </c>
      <c r="G1" s="8" t="s">
        <v>41</v>
      </c>
      <c r="H1" s="8" t="s">
        <v>34</v>
      </c>
      <c r="I1" s="8" t="s">
        <v>40</v>
      </c>
      <c r="J1" s="9" t="s">
        <v>14</v>
      </c>
    </row>
    <row r="2" spans="1:10" x14ac:dyDescent="0.3">
      <c r="A2" s="10">
        <v>1</v>
      </c>
      <c r="B2" s="11">
        <v>100000</v>
      </c>
      <c r="C2" s="12">
        <v>5.1999999999999998E-2</v>
      </c>
      <c r="D2" s="13">
        <f>B2/$B$13</f>
        <v>3.8461538461538464E-2</v>
      </c>
      <c r="E2" s="14">
        <f>C2*D2</f>
        <v>2E-3</v>
      </c>
      <c r="F2" s="40">
        <f>(C2-$D$16)</f>
        <v>6.9999999999999923E-4</v>
      </c>
      <c r="G2" s="41">
        <f>F2^2</f>
        <v>4.8999999999999891E-7</v>
      </c>
      <c r="H2" s="40">
        <f>(C2-$E$13)</f>
        <v>2.1153846153845746E-4</v>
      </c>
      <c r="I2" s="41">
        <f>H2^2</f>
        <v>4.4748520710057441E-8</v>
      </c>
      <c r="J2" s="42">
        <f>D2*I2</f>
        <v>1.7210969503868249E-9</v>
      </c>
    </row>
    <row r="3" spans="1:10" x14ac:dyDescent="0.3">
      <c r="A3" s="10">
        <v>2</v>
      </c>
      <c r="B3" s="11">
        <v>300000</v>
      </c>
      <c r="C3" s="12">
        <v>4.9000000000000002E-2</v>
      </c>
      <c r="D3" s="13">
        <f t="shared" ref="D3:D11" si="0">B3/$B$13</f>
        <v>0.11538461538461539</v>
      </c>
      <c r="E3" s="14">
        <f t="shared" ref="E3:E11" si="1">C3*D3</f>
        <v>5.6538461538461543E-3</v>
      </c>
      <c r="F3" s="40">
        <f t="shared" ref="F3:F11" si="2">(C3-$D$16)</f>
        <v>-2.2999999999999965E-3</v>
      </c>
      <c r="G3" s="41">
        <f t="shared" ref="G3:G11" si="3">F3^2</f>
        <v>5.2899999999999841E-6</v>
      </c>
      <c r="H3" s="40">
        <f t="shared" ref="H3:H11" si="4">(C3-$E$13)</f>
        <v>-2.7884615384615383E-3</v>
      </c>
      <c r="I3" s="41">
        <f t="shared" ref="I3:I11" si="5">H3^2</f>
        <v>7.7755177514792894E-6</v>
      </c>
      <c r="J3" s="42">
        <f t="shared" ref="J3:J11" si="6">D3*I3</f>
        <v>8.9717512517068724E-7</v>
      </c>
    </row>
    <row r="4" spans="1:10" x14ac:dyDescent="0.3">
      <c r="A4" s="10">
        <v>3</v>
      </c>
      <c r="B4" s="11">
        <v>200000</v>
      </c>
      <c r="C4" s="12">
        <v>5.5E-2</v>
      </c>
      <c r="D4" s="13">
        <f t="shared" si="0"/>
        <v>7.6923076923076927E-2</v>
      </c>
      <c r="E4" s="14">
        <f t="shared" si="1"/>
        <v>4.2307692307692307E-3</v>
      </c>
      <c r="F4" s="40">
        <f t="shared" si="2"/>
        <v>3.7000000000000019E-3</v>
      </c>
      <c r="G4" s="41">
        <f t="shared" si="3"/>
        <v>1.3690000000000015E-5</v>
      </c>
      <c r="H4" s="40">
        <f t="shared" si="4"/>
        <v>3.2115384615384601E-3</v>
      </c>
      <c r="I4" s="41">
        <f t="shared" si="5"/>
        <v>1.0313979289940819E-5</v>
      </c>
      <c r="J4" s="42">
        <f t="shared" si="6"/>
        <v>7.9338302230313989E-7</v>
      </c>
    </row>
    <row r="5" spans="1:10" x14ac:dyDescent="0.3">
      <c r="A5" s="10">
        <v>4</v>
      </c>
      <c r="B5" s="11">
        <v>500000</v>
      </c>
      <c r="C5" s="12">
        <v>5.6000000000000001E-2</v>
      </c>
      <c r="D5" s="13">
        <f t="shared" si="0"/>
        <v>0.19230769230769232</v>
      </c>
      <c r="E5" s="14">
        <f t="shared" si="1"/>
        <v>1.0769230769230771E-2</v>
      </c>
      <c r="F5" s="40">
        <f t="shared" si="2"/>
        <v>4.7000000000000028E-3</v>
      </c>
      <c r="G5" s="41">
        <f t="shared" si="3"/>
        <v>2.2090000000000027E-5</v>
      </c>
      <c r="H5" s="40">
        <f t="shared" si="4"/>
        <v>4.211538461538461E-3</v>
      </c>
      <c r="I5" s="41">
        <f t="shared" si="5"/>
        <v>1.7737056213017747E-5</v>
      </c>
      <c r="J5" s="42">
        <f t="shared" si="6"/>
        <v>3.4109723486572591E-6</v>
      </c>
    </row>
    <row r="6" spans="1:10" x14ac:dyDescent="0.3">
      <c r="A6" s="10">
        <v>5</v>
      </c>
      <c r="B6" s="11">
        <v>100000</v>
      </c>
      <c r="C6" s="12">
        <v>5.0999999999999997E-2</v>
      </c>
      <c r="D6" s="13">
        <f t="shared" si="0"/>
        <v>3.8461538461538464E-2</v>
      </c>
      <c r="E6" s="14">
        <f t="shared" si="1"/>
        <v>1.9615384615384616E-3</v>
      </c>
      <c r="F6" s="40">
        <f t="shared" si="2"/>
        <v>-3.0000000000000165E-4</v>
      </c>
      <c r="G6" s="41">
        <f t="shared" si="3"/>
        <v>9.0000000000000991E-8</v>
      </c>
      <c r="H6" s="40">
        <f t="shared" si="4"/>
        <v>-7.8846153846154343E-4</v>
      </c>
      <c r="I6" s="41">
        <f t="shared" si="5"/>
        <v>6.216715976331439E-7</v>
      </c>
      <c r="J6" s="42">
        <f t="shared" si="6"/>
        <v>2.3910446062813227E-8</v>
      </c>
    </row>
    <row r="7" spans="1:10" x14ac:dyDescent="0.3">
      <c r="A7" s="10">
        <v>6</v>
      </c>
      <c r="B7" s="11">
        <v>250000</v>
      </c>
      <c r="C7" s="12">
        <v>4.7E-2</v>
      </c>
      <c r="D7" s="13">
        <f t="shared" si="0"/>
        <v>9.6153846153846159E-2</v>
      </c>
      <c r="E7" s="14">
        <f t="shared" si="1"/>
        <v>4.5192307692307693E-3</v>
      </c>
      <c r="F7" s="40">
        <f t="shared" si="2"/>
        <v>-4.2999999999999983E-3</v>
      </c>
      <c r="G7" s="41">
        <f t="shared" si="3"/>
        <v>1.8489999999999984E-5</v>
      </c>
      <c r="H7" s="40">
        <f t="shared" si="4"/>
        <v>-4.78846153846154E-3</v>
      </c>
      <c r="I7" s="41">
        <f t="shared" si="5"/>
        <v>2.292936390532546E-5</v>
      </c>
      <c r="J7" s="42">
        <f t="shared" si="6"/>
        <v>2.2047465293582174E-6</v>
      </c>
    </row>
    <row r="8" spans="1:10" x14ac:dyDescent="0.3">
      <c r="A8" s="10">
        <v>7</v>
      </c>
      <c r="B8" s="11">
        <v>450000</v>
      </c>
      <c r="C8" s="12">
        <v>5.1999999999999998E-2</v>
      </c>
      <c r="D8" s="13">
        <f t="shared" si="0"/>
        <v>0.17307692307692307</v>
      </c>
      <c r="E8" s="14">
        <f t="shared" si="1"/>
        <v>8.9999999999999993E-3</v>
      </c>
      <c r="F8" s="40">
        <f t="shared" si="2"/>
        <v>6.9999999999999923E-4</v>
      </c>
      <c r="G8" s="41">
        <f t="shared" si="3"/>
        <v>4.8999999999999891E-7</v>
      </c>
      <c r="H8" s="40">
        <f t="shared" si="4"/>
        <v>2.1153846153845746E-4</v>
      </c>
      <c r="I8" s="41">
        <f t="shared" si="5"/>
        <v>4.4748520710057441E-8</v>
      </c>
      <c r="J8" s="42">
        <f t="shared" si="6"/>
        <v>7.7449362767407106E-9</v>
      </c>
    </row>
    <row r="9" spans="1:10" x14ac:dyDescent="0.3">
      <c r="A9" s="10">
        <v>8</v>
      </c>
      <c r="B9" s="11">
        <v>200000</v>
      </c>
      <c r="C9" s="12">
        <v>4.8000000000000001E-2</v>
      </c>
      <c r="D9" s="13">
        <f t="shared" si="0"/>
        <v>7.6923076923076927E-2</v>
      </c>
      <c r="E9" s="14">
        <f t="shared" si="1"/>
        <v>3.6923076923076927E-3</v>
      </c>
      <c r="F9" s="40">
        <f t="shared" si="2"/>
        <v>-3.2999999999999974E-3</v>
      </c>
      <c r="G9" s="41">
        <f t="shared" si="3"/>
        <v>1.0889999999999982E-5</v>
      </c>
      <c r="H9" s="40">
        <f t="shared" si="4"/>
        <v>-3.7884615384615392E-3</v>
      </c>
      <c r="I9" s="41">
        <f t="shared" si="5"/>
        <v>1.4352440828402372E-5</v>
      </c>
      <c r="J9" s="42">
        <f t="shared" si="6"/>
        <v>1.1040339098771056E-6</v>
      </c>
    </row>
    <row r="10" spans="1:10" x14ac:dyDescent="0.3">
      <c r="A10" s="10">
        <v>9</v>
      </c>
      <c r="B10" s="11">
        <v>300000</v>
      </c>
      <c r="C10" s="12">
        <v>5.2999999999999999E-2</v>
      </c>
      <c r="D10" s="13">
        <f t="shared" si="0"/>
        <v>0.11538461538461539</v>
      </c>
      <c r="E10" s="14">
        <f t="shared" si="1"/>
        <v>6.1153846153846154E-3</v>
      </c>
      <c r="F10" s="40">
        <f t="shared" si="2"/>
        <v>1.7000000000000001E-3</v>
      </c>
      <c r="G10" s="41">
        <f t="shared" si="3"/>
        <v>2.8900000000000003E-6</v>
      </c>
      <c r="H10" s="40">
        <f t="shared" si="4"/>
        <v>1.2115384615384583E-3</v>
      </c>
      <c r="I10" s="41">
        <f t="shared" si="5"/>
        <v>1.4678254437869745E-6</v>
      </c>
      <c r="J10" s="42">
        <f t="shared" si="6"/>
        <v>1.6936447428311246E-7</v>
      </c>
    </row>
    <row r="11" spans="1:10" x14ac:dyDescent="0.3">
      <c r="A11" s="10">
        <v>10</v>
      </c>
      <c r="B11" s="11">
        <v>200000</v>
      </c>
      <c r="C11" s="12">
        <v>0.05</v>
      </c>
      <c r="D11" s="13">
        <f t="shared" si="0"/>
        <v>7.6923076923076927E-2</v>
      </c>
      <c r="E11" s="14">
        <f t="shared" si="1"/>
        <v>3.8461538461538464E-3</v>
      </c>
      <c r="F11" s="40">
        <f t="shared" si="2"/>
        <v>-1.2999999999999956E-3</v>
      </c>
      <c r="G11" s="41">
        <f t="shared" si="3"/>
        <v>1.6899999999999885E-6</v>
      </c>
      <c r="H11" s="40">
        <f t="shared" si="4"/>
        <v>-1.7884615384615374E-3</v>
      </c>
      <c r="I11" s="41">
        <f t="shared" si="5"/>
        <v>3.198594674556209E-6</v>
      </c>
      <c r="J11" s="42">
        <f t="shared" si="6"/>
        <v>2.4604574419663148E-7</v>
      </c>
    </row>
    <row r="12" spans="1:10" x14ac:dyDescent="0.3">
      <c r="A12" s="44" t="s">
        <v>51</v>
      </c>
      <c r="B12" s="16"/>
      <c r="C12" s="16"/>
      <c r="D12" s="22" t="s">
        <v>21</v>
      </c>
      <c r="E12" s="21" t="s">
        <v>37</v>
      </c>
      <c r="F12" s="23" t="s">
        <v>50</v>
      </c>
      <c r="G12" s="23" t="s">
        <v>22</v>
      </c>
      <c r="H12" s="23" t="s">
        <v>49</v>
      </c>
      <c r="I12" s="21" t="s">
        <v>47</v>
      </c>
      <c r="J12" s="27" t="s">
        <v>48</v>
      </c>
    </row>
    <row r="13" spans="1:10" x14ac:dyDescent="0.3">
      <c r="A13" s="45" t="s">
        <v>36</v>
      </c>
      <c r="B13" s="33">
        <f>SUM(B2:B11)</f>
        <v>2600000</v>
      </c>
      <c r="C13" s="16"/>
      <c r="D13" s="14">
        <f>SUM(D2:D12)</f>
        <v>1</v>
      </c>
      <c r="E13" s="14">
        <f>SUM(E2:E11)</f>
        <v>5.178846153846154E-2</v>
      </c>
      <c r="F13" s="14"/>
      <c r="G13" s="15"/>
      <c r="H13" s="16"/>
      <c r="I13" s="16"/>
      <c r="J13" s="42">
        <f>SUM(J2:J11)</f>
        <v>8.8590976331360926E-6</v>
      </c>
    </row>
    <row r="14" spans="1:10" x14ac:dyDescent="0.3">
      <c r="A14" s="17"/>
      <c r="B14" s="18"/>
      <c r="C14" s="18"/>
      <c r="D14" s="18"/>
      <c r="E14" s="18"/>
      <c r="F14" s="18"/>
      <c r="G14" s="18"/>
      <c r="H14" s="18"/>
      <c r="I14" s="18"/>
      <c r="J14" s="19"/>
    </row>
    <row r="15" spans="1:10" x14ac:dyDescent="0.3">
      <c r="A15" s="17"/>
      <c r="B15" s="18"/>
      <c r="C15" s="20" t="s">
        <v>10</v>
      </c>
      <c r="D15" s="36">
        <f>E13</f>
        <v>5.178846153846154E-2</v>
      </c>
      <c r="E15" s="37" t="s">
        <v>35</v>
      </c>
      <c r="F15" s="37"/>
      <c r="G15" s="37"/>
      <c r="H15" s="18"/>
      <c r="I15" s="18"/>
      <c r="J15" s="19"/>
    </row>
    <row r="16" spans="1:10" x14ac:dyDescent="0.3">
      <c r="A16" s="17"/>
      <c r="B16" s="18"/>
      <c r="C16" s="20" t="s">
        <v>52</v>
      </c>
      <c r="D16" s="36">
        <f>AVERAGE(C2:C11)</f>
        <v>5.1299999999999998E-2</v>
      </c>
      <c r="E16" s="34" t="s">
        <v>17</v>
      </c>
      <c r="F16" s="34"/>
      <c r="G16" s="34"/>
      <c r="H16" s="18"/>
      <c r="I16" s="18"/>
      <c r="J16" s="19"/>
    </row>
    <row r="17" spans="1:10" x14ac:dyDescent="0.3">
      <c r="A17" s="17"/>
      <c r="B17" s="18"/>
      <c r="C17" s="20" t="s">
        <v>15</v>
      </c>
      <c r="D17" s="33">
        <f>COUNT(C2:C11)</f>
        <v>10</v>
      </c>
      <c r="E17" s="35" t="s">
        <v>18</v>
      </c>
      <c r="F17" s="35"/>
      <c r="G17" s="35"/>
      <c r="H17" s="18"/>
      <c r="I17" s="18"/>
      <c r="J17" s="19"/>
    </row>
    <row r="18" spans="1:10" x14ac:dyDescent="0.3">
      <c r="A18" s="17"/>
      <c r="B18" s="18"/>
      <c r="C18" s="20" t="s">
        <v>42</v>
      </c>
      <c r="D18" s="43">
        <f>SUM(G2:G11)</f>
        <v>7.609999999999998E-5</v>
      </c>
      <c r="E18" s="35" t="s">
        <v>20</v>
      </c>
      <c r="F18" s="39"/>
      <c r="G18" s="35"/>
      <c r="H18" s="18"/>
      <c r="I18" s="18"/>
      <c r="J18" s="19"/>
    </row>
    <row r="19" spans="1:10" x14ac:dyDescent="0.3">
      <c r="A19" s="17"/>
      <c r="B19" s="18"/>
      <c r="C19" s="20" t="s">
        <v>39</v>
      </c>
      <c r="D19" s="43">
        <f>SUM(I2:I11)</f>
        <v>7.8485946745562133E-5</v>
      </c>
      <c r="E19" s="35" t="s">
        <v>43</v>
      </c>
      <c r="F19" s="38"/>
      <c r="G19" s="31"/>
      <c r="H19" s="18"/>
      <c r="I19" s="18"/>
      <c r="J19" s="19"/>
    </row>
    <row r="20" spans="1:10" x14ac:dyDescent="0.3">
      <c r="A20" s="17"/>
      <c r="B20" s="18"/>
      <c r="C20" s="20" t="s">
        <v>16</v>
      </c>
      <c r="D20" s="46">
        <f>SQRT(D18/D17)</f>
        <v>2.7586228448267442E-3</v>
      </c>
      <c r="E20" s="31" t="s">
        <v>19</v>
      </c>
      <c r="F20" s="38"/>
      <c r="G20" s="31"/>
      <c r="H20" s="18"/>
      <c r="I20" s="18"/>
      <c r="J20" s="19"/>
    </row>
    <row r="21" spans="1:10" x14ac:dyDescent="0.3">
      <c r="A21" s="17"/>
      <c r="B21" s="18"/>
      <c r="C21" s="20" t="s">
        <v>28</v>
      </c>
      <c r="D21" s="43">
        <f>SQRT(J13)</f>
        <v>2.9764236313294E-3</v>
      </c>
      <c r="E21" s="31" t="s">
        <v>44</v>
      </c>
      <c r="F21" s="38"/>
      <c r="G21" s="31"/>
      <c r="H21" s="18"/>
      <c r="I21" s="18"/>
      <c r="J21" s="19"/>
    </row>
    <row r="22" spans="1:10" x14ac:dyDescent="0.3">
      <c r="A22" s="17"/>
      <c r="B22" s="18"/>
      <c r="C22" s="28" t="s">
        <v>23</v>
      </c>
      <c r="D22" s="30">
        <f>MAX(C2:C11)</f>
        <v>5.6000000000000001E-2</v>
      </c>
      <c r="E22" s="31" t="s">
        <v>26</v>
      </c>
      <c r="F22" s="31"/>
      <c r="G22" s="31"/>
      <c r="H22" s="18"/>
      <c r="I22" s="18"/>
      <c r="J22" s="19"/>
    </row>
    <row r="23" spans="1:10" x14ac:dyDescent="0.3">
      <c r="A23" s="17"/>
      <c r="B23" s="18"/>
      <c r="C23" s="28" t="s">
        <v>24</v>
      </c>
      <c r="D23" s="30">
        <f>MIN(C2:C11)</f>
        <v>4.7E-2</v>
      </c>
      <c r="E23" s="31" t="s">
        <v>27</v>
      </c>
      <c r="F23" s="31"/>
      <c r="G23" s="31"/>
      <c r="H23" s="18"/>
      <c r="I23" s="18"/>
      <c r="J23" s="19"/>
    </row>
    <row r="24" spans="1:10" x14ac:dyDescent="0.3">
      <c r="A24" s="17"/>
      <c r="B24" s="18"/>
      <c r="C24" s="28" t="s">
        <v>25</v>
      </c>
      <c r="D24" s="31">
        <f>D22-D23</f>
        <v>9.0000000000000011E-3</v>
      </c>
      <c r="E24" s="31" t="s">
        <v>45</v>
      </c>
      <c r="F24" s="31"/>
      <c r="G24" s="31"/>
      <c r="H24" s="18"/>
      <c r="I24" s="18"/>
      <c r="J24" s="19"/>
    </row>
    <row r="25" spans="1:10" x14ac:dyDescent="0.3">
      <c r="A25" s="17"/>
      <c r="B25" s="18"/>
      <c r="C25" s="28" t="s">
        <v>29</v>
      </c>
      <c r="D25" s="30">
        <f>QUARTILE(C2:C11,3)</f>
        <v>5.2749999999999998E-2</v>
      </c>
      <c r="E25" s="31" t="s">
        <v>32</v>
      </c>
      <c r="F25" s="31"/>
      <c r="G25" s="31"/>
      <c r="H25" s="18"/>
      <c r="I25" s="18"/>
      <c r="J25" s="19"/>
    </row>
    <row r="26" spans="1:10" x14ac:dyDescent="0.3">
      <c r="A26" s="17"/>
      <c r="B26" s="18"/>
      <c r="C26" s="28" t="s">
        <v>30</v>
      </c>
      <c r="D26" s="30">
        <f>QUARTILE(C2:C11,1)</f>
        <v>4.9250000000000002E-2</v>
      </c>
      <c r="E26" s="31" t="s">
        <v>33</v>
      </c>
      <c r="F26" s="31"/>
      <c r="G26" s="31"/>
      <c r="H26" s="18"/>
      <c r="I26" s="18"/>
      <c r="J26" s="19"/>
    </row>
    <row r="27" spans="1:10" ht="15" thickBot="1" x14ac:dyDescent="0.35">
      <c r="A27" s="24"/>
      <c r="B27" s="25"/>
      <c r="C27" s="29" t="s">
        <v>31</v>
      </c>
      <c r="D27" s="32">
        <f>D25-D26</f>
        <v>3.4999999999999962E-3</v>
      </c>
      <c r="E27" s="32" t="s">
        <v>46</v>
      </c>
      <c r="F27" s="32"/>
      <c r="G27" s="32"/>
      <c r="H27" s="25"/>
      <c r="I27" s="25"/>
      <c r="J27" s="26"/>
    </row>
  </sheetData>
  <printOptions headings="1" gridLines="1"/>
  <pageMargins left="0.7" right="0.7" top="0.75" bottom="0.75" header="0.3" footer="0.3"/>
  <pageSetup scale="54"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1BD97-94FE-4AFF-9CEC-B0A528FBD9E5}">
  <dimension ref="A1:I38"/>
  <sheetViews>
    <sheetView workbookViewId="0">
      <selection activeCell="I4" sqref="I4"/>
    </sheetView>
  </sheetViews>
  <sheetFormatPr defaultRowHeight="14.4" x14ac:dyDescent="0.3"/>
  <cols>
    <col min="1" max="1" width="10.6640625" bestFit="1" customWidth="1"/>
    <col min="2" max="2" width="21" bestFit="1" customWidth="1"/>
    <col min="3" max="3" width="17.5546875" bestFit="1" customWidth="1"/>
    <col min="4" max="4" width="17.5546875" customWidth="1"/>
    <col min="6" max="6" width="10.5546875" customWidth="1"/>
    <col min="7" max="7" width="10.33203125" customWidth="1"/>
    <col min="8" max="8" width="28.33203125" bestFit="1" customWidth="1"/>
  </cols>
  <sheetData>
    <row r="1" spans="1:9" ht="15" thickBot="1" x14ac:dyDescent="0.35">
      <c r="B1" t="s">
        <v>0</v>
      </c>
      <c r="C1" t="s">
        <v>0</v>
      </c>
      <c r="F1" s="48" t="s">
        <v>1</v>
      </c>
      <c r="G1" s="49"/>
    </row>
    <row r="2" spans="1:9" ht="15" thickBot="1" x14ac:dyDescent="0.35">
      <c r="B2" t="s">
        <v>2</v>
      </c>
      <c r="C2" t="s">
        <v>3</v>
      </c>
      <c r="F2" s="1" t="s">
        <v>7</v>
      </c>
      <c r="G2" s="2" t="s">
        <v>4</v>
      </c>
    </row>
    <row r="3" spans="1:9" ht="15" thickBot="1" x14ac:dyDescent="0.35">
      <c r="A3" s="3">
        <v>43131</v>
      </c>
      <c r="B3" s="4">
        <v>1.2999999999999999E-2</v>
      </c>
      <c r="C3" s="4">
        <v>1.41E-2</v>
      </c>
      <c r="D3" s="4"/>
      <c r="F3" s="5">
        <f>STDEVP(B3:B38)*SQRT(12)</f>
        <v>2.6429781182093298E-2</v>
      </c>
      <c r="G3" s="5">
        <f>STDEVP(C3:C38)*SQRT(12)</f>
        <v>2.740328447467566E-2</v>
      </c>
      <c r="H3" s="6" t="s">
        <v>5</v>
      </c>
      <c r="I3" t="s">
        <v>55</v>
      </c>
    </row>
    <row r="4" spans="1:9" ht="15" thickBot="1" x14ac:dyDescent="0.35">
      <c r="A4" s="3">
        <v>43159</v>
      </c>
      <c r="B4" s="4">
        <v>9.1000000000000004E-3</v>
      </c>
      <c r="C4" s="4">
        <v>9.7999999999999997E-3</v>
      </c>
      <c r="D4" s="4"/>
      <c r="F4" s="5">
        <f>STDEV(B3:B38)*SQRT(12)</f>
        <v>2.6804690421107797E-2</v>
      </c>
      <c r="G4" s="5">
        <f>STDEV(C3:C38)*SQRT(12)</f>
        <v>2.7792002960769644E-2</v>
      </c>
      <c r="H4" s="6" t="s">
        <v>6</v>
      </c>
      <c r="I4" t="s">
        <v>54</v>
      </c>
    </row>
    <row r="5" spans="1:9" x14ac:dyDescent="0.3">
      <c r="A5" s="3">
        <v>43190</v>
      </c>
      <c r="B5" s="4">
        <v>4.4999999999999997E-3</v>
      </c>
      <c r="C5" s="4">
        <v>4.8999999999999998E-3</v>
      </c>
      <c r="D5" s="4"/>
    </row>
    <row r="6" spans="1:9" x14ac:dyDescent="0.3">
      <c r="A6" s="3">
        <v>43220</v>
      </c>
      <c r="B6" s="4">
        <v>5.7999999999999996E-3</v>
      </c>
      <c r="C6" s="4">
        <v>6.4000000000000003E-3</v>
      </c>
      <c r="D6" s="4"/>
    </row>
    <row r="7" spans="1:9" x14ac:dyDescent="0.3">
      <c r="A7" s="3">
        <v>43251</v>
      </c>
      <c r="B7" s="4">
        <v>1.3299999999999999E-2</v>
      </c>
      <c r="C7" s="4">
        <v>1.37E-2</v>
      </c>
      <c r="D7" s="4"/>
    </row>
    <row r="8" spans="1:9" x14ac:dyDescent="0.3">
      <c r="A8" s="3">
        <v>43281</v>
      </c>
      <c r="B8" s="4">
        <v>4.4999999999999997E-3</v>
      </c>
      <c r="C8" s="4">
        <v>5.1000000000000004E-3</v>
      </c>
      <c r="D8" s="4"/>
    </row>
    <row r="9" spans="1:9" x14ac:dyDescent="0.3">
      <c r="A9" s="3">
        <v>43312</v>
      </c>
      <c r="B9" s="4">
        <v>1.66E-2</v>
      </c>
      <c r="C9" s="4">
        <v>1.66E-2</v>
      </c>
      <c r="D9" s="4"/>
    </row>
    <row r="10" spans="1:9" x14ac:dyDescent="0.3">
      <c r="A10" s="3">
        <v>43343</v>
      </c>
      <c r="B10" s="4">
        <v>-3.5000000000000001E-3</v>
      </c>
      <c r="C10" s="4">
        <v>-4.5999999999999999E-3</v>
      </c>
      <c r="D10" s="4"/>
    </row>
    <row r="11" spans="1:9" x14ac:dyDescent="0.3">
      <c r="A11" s="3">
        <v>43373</v>
      </c>
      <c r="B11" s="4">
        <v>5.0000000000000001E-3</v>
      </c>
      <c r="C11" s="4">
        <v>5.1000000000000004E-3</v>
      </c>
      <c r="D11" s="4"/>
    </row>
    <row r="12" spans="1:9" x14ac:dyDescent="0.3">
      <c r="A12" s="3">
        <v>43404</v>
      </c>
      <c r="B12" s="4">
        <v>8.0000000000000002E-3</v>
      </c>
      <c r="C12" s="4">
        <v>6.8999999999999999E-3</v>
      </c>
      <c r="D12" s="4"/>
    </row>
    <row r="13" spans="1:9" x14ac:dyDescent="0.3">
      <c r="A13" s="3">
        <v>43434</v>
      </c>
      <c r="B13" s="4">
        <v>0.01</v>
      </c>
      <c r="C13" s="4">
        <v>9.9000000000000008E-3</v>
      </c>
      <c r="D13" s="4"/>
    </row>
    <row r="14" spans="1:9" x14ac:dyDescent="0.3">
      <c r="A14" s="3">
        <v>43465</v>
      </c>
      <c r="B14" s="4">
        <v>3.2000000000000002E-3</v>
      </c>
      <c r="C14" s="4">
        <v>8.9999999999999998E-4</v>
      </c>
      <c r="D14" s="4"/>
    </row>
    <row r="15" spans="1:9" x14ac:dyDescent="0.3">
      <c r="A15" s="3">
        <v>43496</v>
      </c>
      <c r="B15" s="4">
        <v>1.2500000000000001E-2</v>
      </c>
      <c r="C15" s="4">
        <v>1.35E-2</v>
      </c>
      <c r="D15" s="4"/>
    </row>
    <row r="16" spans="1:9" x14ac:dyDescent="0.3">
      <c r="A16" s="3">
        <v>43524</v>
      </c>
      <c r="B16" s="4">
        <v>3.3999999999999998E-3</v>
      </c>
      <c r="C16" s="4">
        <v>5.7999999999999996E-3</v>
      </c>
      <c r="D16" s="4"/>
    </row>
    <row r="17" spans="1:4" x14ac:dyDescent="0.3">
      <c r="A17" s="3">
        <v>43555</v>
      </c>
      <c r="B17" s="4">
        <v>1.4500000000000001E-2</v>
      </c>
      <c r="C17" s="4">
        <v>1.49E-2</v>
      </c>
      <c r="D17" s="4"/>
    </row>
    <row r="18" spans="1:4" x14ac:dyDescent="0.3">
      <c r="A18" s="3">
        <v>43585</v>
      </c>
      <c r="B18" s="4">
        <v>1.4999999999999999E-2</v>
      </c>
      <c r="C18" s="4">
        <v>1.44E-2</v>
      </c>
      <c r="D18" s="4"/>
    </row>
    <row r="19" spans="1:4" x14ac:dyDescent="0.3">
      <c r="A19" s="3">
        <v>43616</v>
      </c>
      <c r="B19" s="4">
        <v>1.3299999999999999E-2</v>
      </c>
      <c r="C19" s="4">
        <v>1.2699999999999999E-2</v>
      </c>
      <c r="D19" s="4"/>
    </row>
    <row r="20" spans="1:4" x14ac:dyDescent="0.3">
      <c r="A20" s="3">
        <v>43646</v>
      </c>
      <c r="B20" s="4">
        <v>4.4999999999999997E-3</v>
      </c>
      <c r="C20" s="4">
        <v>5.1000000000000004E-3</v>
      </c>
      <c r="D20" s="4"/>
    </row>
    <row r="21" spans="1:4" x14ac:dyDescent="0.3">
      <c r="A21" s="3">
        <v>43677</v>
      </c>
      <c r="B21" s="4">
        <v>2.3E-3</v>
      </c>
      <c r="C21" s="4">
        <v>3.3999999999999998E-3</v>
      </c>
      <c r="D21" s="4"/>
    </row>
    <row r="22" spans="1:4" x14ac:dyDescent="0.3">
      <c r="A22" s="3">
        <v>43708</v>
      </c>
      <c r="B22" s="4">
        <v>-3.5000000000000001E-3</v>
      </c>
      <c r="C22" s="4">
        <v>-4.5999999999999999E-3</v>
      </c>
      <c r="D22" s="4"/>
    </row>
    <row r="23" spans="1:4" x14ac:dyDescent="0.3">
      <c r="A23" s="3">
        <v>43738</v>
      </c>
      <c r="B23" s="4">
        <v>7.7000000000000002E-3</v>
      </c>
      <c r="C23" s="4">
        <v>6.7000000000000002E-3</v>
      </c>
      <c r="D23" s="4"/>
    </row>
    <row r="24" spans="1:4" x14ac:dyDescent="0.3">
      <c r="A24" s="3">
        <v>43769</v>
      </c>
      <c r="B24" s="4">
        <v>9.7999999999999997E-3</v>
      </c>
      <c r="C24" s="4">
        <v>1.4500000000000001E-2</v>
      </c>
      <c r="D24" s="4"/>
    </row>
    <row r="25" spans="1:4" x14ac:dyDescent="0.3">
      <c r="A25" s="3">
        <v>43799</v>
      </c>
      <c r="B25" s="4">
        <v>8.2000000000000007E-3</v>
      </c>
      <c r="C25" s="4">
        <v>7.9000000000000008E-3</v>
      </c>
      <c r="D25" s="4"/>
    </row>
    <row r="26" spans="1:4" x14ac:dyDescent="0.3">
      <c r="A26" s="3">
        <v>43830</v>
      </c>
      <c r="B26" s="4">
        <v>-5.4000000000000003E-3</v>
      </c>
      <c r="C26" s="4">
        <v>-8.0000000000000004E-4</v>
      </c>
      <c r="D26" s="4"/>
    </row>
    <row r="27" spans="1:4" x14ac:dyDescent="0.3">
      <c r="A27" s="3">
        <v>43861</v>
      </c>
      <c r="B27" s="4">
        <v>1.15E-2</v>
      </c>
      <c r="C27" s="4">
        <v>1.15E-2</v>
      </c>
      <c r="D27" s="4"/>
    </row>
    <row r="28" spans="1:4" x14ac:dyDescent="0.3">
      <c r="A28" s="3">
        <v>43890</v>
      </c>
      <c r="B28" s="4">
        <v>-1.34E-2</v>
      </c>
      <c r="C28" s="4">
        <v>-1.4800000000000001E-2</v>
      </c>
      <c r="D28" s="4"/>
    </row>
    <row r="29" spans="1:4" x14ac:dyDescent="0.3">
      <c r="A29" s="3">
        <v>43921</v>
      </c>
      <c r="B29" s="4">
        <v>-1.35E-2</v>
      </c>
      <c r="C29" s="4">
        <v>-1.3899999999999999E-2</v>
      </c>
      <c r="D29" s="4"/>
    </row>
    <row r="30" spans="1:4" x14ac:dyDescent="0.3">
      <c r="A30" s="3">
        <v>43951</v>
      </c>
      <c r="B30" s="4">
        <v>1.6199999999999999E-2</v>
      </c>
      <c r="C30" s="4">
        <v>1.54E-2</v>
      </c>
      <c r="D30" s="4"/>
    </row>
    <row r="31" spans="1:4" x14ac:dyDescent="0.3">
      <c r="A31" s="3">
        <v>43982</v>
      </c>
      <c r="B31" s="4">
        <v>5.0000000000000001E-3</v>
      </c>
      <c r="C31" s="4">
        <v>5.4999999999999997E-3</v>
      </c>
      <c r="D31" s="4"/>
    </row>
    <row r="32" spans="1:4" x14ac:dyDescent="0.3">
      <c r="A32" s="3">
        <v>44012</v>
      </c>
      <c r="B32" s="4">
        <v>-4.4999999999999997E-3</v>
      </c>
      <c r="C32" s="4">
        <v>-5.1000000000000004E-3</v>
      </c>
      <c r="D32" s="4"/>
    </row>
    <row r="33" spans="1:4" x14ac:dyDescent="0.3">
      <c r="A33" s="3">
        <v>44043</v>
      </c>
      <c r="B33" s="4">
        <v>1.6999999999999999E-3</v>
      </c>
      <c r="C33" s="4">
        <v>2.3999999999999998E-3</v>
      </c>
      <c r="D33" s="4"/>
    </row>
    <row r="34" spans="1:4" x14ac:dyDescent="0.3">
      <c r="A34" s="3">
        <v>44074</v>
      </c>
      <c r="B34" s="4">
        <v>-3.5000000000000001E-3</v>
      </c>
      <c r="C34" s="4">
        <v>-4.5999999999999999E-3</v>
      </c>
      <c r="D34" s="4"/>
    </row>
    <row r="35" spans="1:4" x14ac:dyDescent="0.3">
      <c r="A35" s="3">
        <v>44104</v>
      </c>
      <c r="B35" s="4">
        <v>7.7000000000000002E-3</v>
      </c>
      <c r="C35" s="4">
        <v>6.7000000000000002E-3</v>
      </c>
      <c r="D35" s="4"/>
    </row>
    <row r="36" spans="1:4" x14ac:dyDescent="0.3">
      <c r="A36" s="3">
        <v>44135</v>
      </c>
      <c r="B36" s="4">
        <v>1.3299999999999999E-2</v>
      </c>
      <c r="C36" s="4">
        <v>1.4500000000000001E-2</v>
      </c>
      <c r="D36" s="4"/>
    </row>
    <row r="37" spans="1:4" x14ac:dyDescent="0.3">
      <c r="A37" s="3">
        <v>44165</v>
      </c>
      <c r="B37" s="4">
        <v>8.9999999999999993E-3</v>
      </c>
      <c r="C37" s="4">
        <v>1.0699999999999999E-2</v>
      </c>
      <c r="D37" s="4"/>
    </row>
    <row r="38" spans="1:4" x14ac:dyDescent="0.3">
      <c r="A38" s="3">
        <v>44196</v>
      </c>
      <c r="B38" s="4">
        <v>-2.0999999999999999E-3</v>
      </c>
      <c r="C38" s="4">
        <v>-1.8E-3</v>
      </c>
      <c r="D38" s="4"/>
    </row>
  </sheetData>
  <mergeCells count="1">
    <mergeCell ref="F1:G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A79330DDB39949977C72F7893FE59B" ma:contentTypeVersion="4" ma:contentTypeDescription="Create a new document." ma:contentTypeScope="" ma:versionID="7cf603f5aa7cfb0699ce4cb244a0511c">
  <xsd:schema xmlns:xsd="http://www.w3.org/2001/XMLSchema" xmlns:xs="http://www.w3.org/2001/XMLSchema" xmlns:p="http://schemas.microsoft.com/office/2006/metadata/properties" xmlns:ns3="18928e69-a32f-4899-b47e-0f4d606b2ec4" targetNamespace="http://schemas.microsoft.com/office/2006/metadata/properties" ma:root="true" ma:fieldsID="d0ec320af7b3c3023eb4c9fe67dce02d" ns3:_="">
    <xsd:import namespace="18928e69-a32f-4899-b47e-0f4d606b2ec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928e69-a32f-4899-b47e-0f4d606b2e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CC70148-A517-4EFC-82B2-B45FBDD423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928e69-a32f-4899-b47e-0f4d606b2e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226E6AB-737D-4A64-A345-9B7AE9306235}">
  <ds:schemaRefs>
    <ds:schemaRef ds:uri="http://schemas.microsoft.com/sharepoint/v3/contenttype/forms"/>
  </ds:schemaRefs>
</ds:datastoreItem>
</file>

<file path=customXml/itemProps3.xml><?xml version="1.0" encoding="utf-8"?>
<ds:datastoreItem xmlns:ds="http://schemas.openxmlformats.org/officeDocument/2006/customXml" ds:itemID="{60A9286F-8BDC-494E-835E-8B3BC2C1F56E}">
  <ds:schemaRefs>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18928e69-a32f-4899-b47e-0f4d606b2ec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PLEASE READ</vt:lpstr>
      <vt:lpstr>4.A.1.i</vt:lpstr>
      <vt:lpstr>4.A.1.j, 3-yr ex post std dev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Terris</dc:creator>
  <cp:lastModifiedBy>Robin Willis</cp:lastModifiedBy>
  <cp:lastPrinted>2020-02-06T19:58:28Z</cp:lastPrinted>
  <dcterms:created xsi:type="dcterms:W3CDTF">2019-12-27T21:17:58Z</dcterms:created>
  <dcterms:modified xsi:type="dcterms:W3CDTF">2020-06-04T15:09:55Z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0x0101001DA79330DDB39949977C72F7893FE59B</vt:lpwstr>
  </property>
</Properties>
</file>